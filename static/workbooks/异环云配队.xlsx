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2700"/>
  </bookViews>
  <sheets>
    <sheet name="云配队" sheetId="10" r:id="rId1"/>
    <sheet name="配装" sheetId="2" r:id="rId2"/>
    <sheet name="增益" sheetId="6" r:id="rId3"/>
    <sheet name="中间" sheetId="9" r:id="rId4"/>
    <sheet name="动作" sheetId="11" r:id="rId5"/>
    <sheet name="角色" sheetId="7" r:id="rId6"/>
    <sheet name="天赋" sheetId="8" r:id="rId7"/>
    <sheet name="弧盘" sheetId="3" r:id="rId8"/>
    <sheet name="卡带" sheetId="4" r:id="rId9"/>
    <sheet name="计算" sheetId="5" r:id="rId10"/>
  </sheets>
  <definedNames>
    <definedName name="_xlnm._FilterDatabase" localSheetId="4" hidden="1">动作!$A$2:$S$113</definedName>
    <definedName name="弧盘下拉">OFFSET(弧盘!$A$2,MATCH(1,(弧盘!$F$3:$F$52=INDIRECT("C"&amp;ROW()))*(弧盘!$A$3:$A$52&lt;&gt;""),0),0,COUNTIFS(弧盘!$F$3:$F$52,INDIRECT("C"&amp;ROW()),弧盘!$A$3:$A$52,"&lt;&gt;"),1)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bytedance</author>
    <author>user</author>
  </authors>
  <commentList>
    <comment ref="G2" authorId="0">
      <text>
        <r>
          <rPr>
            <b/>
            <sz val="9"/>
            <rFont val="宋体"/>
            <charset val="134"/>
          </rPr>
          <t>bytedance:</t>
        </r>
        <r>
          <rPr>
            <sz val="9"/>
            <rFont val="宋体"/>
            <charset val="134"/>
          </rPr>
          <t xml:space="preserve">
不包含了弧盘和卡带在战斗中叠攻击双暴的效果，可能会低于游戏内看到的</t>
        </r>
      </text>
    </comment>
    <comment ref="AR3" authorId="0">
      <text>
        <r>
          <rPr>
            <sz val="9"/>
            <rFont val="宋体"/>
            <charset val="134"/>
          </rPr>
          <t>「变轨技能：铭隙鉴刻」对首次命中的等级不高于自身等级的敌人造成1次200%*攻击力的额外伤害，该伤害无视目标75%防御。</t>
        </r>
      </text>
    </comment>
    <comment ref="AS3" authorId="0">
      <text>
        <r>
          <rPr>
            <sz val="9"/>
            <rFont val="宋体"/>
            <charset val="134"/>
          </rPr>
          <t>成功释放「变轨技能：铭隙鉴刻」后，自身额外获得8点终结能量。</t>
        </r>
      </text>
    </comment>
    <comment ref="AT3" authorId="0">
      <text>
        <r>
          <rPr>
            <sz val="9"/>
            <rFont val="宋体"/>
            <charset val="134"/>
          </rPr>
          <t>「极轨终结：奇零除尽」的暴击率提升50%。</t>
        </r>
      </text>
    </comment>
    <comment ref="AU3" authorId="0">
      <text>
        <r>
          <rPr>
            <sz val="9"/>
            <rFont val="宋体"/>
            <charset val="134"/>
          </rPr>
          <t>零的每1点基础攻击力都使得「极轨终结：奇零除尽」造成的伤害提升0.1%，上限提升25%。</t>
        </r>
      </text>
    </comment>
    <comment ref="AV3" authorId="0">
      <text>
        <r>
          <rPr>
            <sz val="9"/>
            <rFont val="宋体"/>
            <charset val="134"/>
          </rPr>
          <t>零触发「援护技」后，使自身攻击力提升10%，持续20秒。</t>
        </r>
      </text>
    </comment>
    <comment ref="AW3" authorId="0">
      <text>
        <r>
          <rPr>
            <sz val="9"/>
            <rFont val="宋体"/>
            <charset val="134"/>
          </rPr>
          <t>「变轨技能：铭隙鉴刻」的额外伤害倍率提升至300%*攻击力。</t>
        </r>
      </text>
    </comment>
    <comment ref="AZ3" authorId="0">
      <text>
        <r>
          <rPr>
            <sz val="9"/>
            <rFont val="宋体"/>
            <charset val="134"/>
          </rPr>
          <t>零触发任意光相关异能环合后，全队角色攻击力提升10%，持续20秒。</t>
        </r>
      </text>
    </comment>
    <comment ref="AA5" authorId="0">
      <text>
        <r>
          <rPr>
            <sz val="9"/>
            <rFont val="宋体"/>
            <charset val="134"/>
          </rPr>
          <t>特殊3命效果</t>
        </r>
      </text>
    </comment>
    <comment ref="AR5" authorId="0">
      <text>
        <r>
          <rPr>
            <sz val="9"/>
            <rFont val="宋体"/>
            <charset val="134"/>
          </rPr>
          <t>「金谷」和「金谷贷款」的存储上限提升25%。</t>
        </r>
      </text>
    </comment>
    <comment ref="AS5" authorId="0">
      <text>
        <r>
          <rPr>
            <sz val="9"/>
            <rFont val="宋体"/>
            <charset val="134"/>
          </rPr>
          <t>当小吱处于「盈余」状态时，每秒可获得当前「金谷」10%的利息。</t>
        </r>
      </text>
    </comment>
    <comment ref="AT5" authorId="0">
      <text>
        <r>
          <rPr>
            <sz val="9"/>
            <rFont val="宋体"/>
            <charset val="134"/>
          </rPr>
          <t>「金谷K线」中「金谷」价格上涨的概率提高50%。</t>
        </r>
      </text>
    </comment>
    <comment ref="AU5" authorId="0">
      <text>
        <r>
          <rPr>
            <sz val="9"/>
            <rFont val="宋体"/>
            <charset val="134"/>
          </rPr>
          <t>「金谷」的获取速率提升20%。</t>
        </r>
      </text>
    </comment>
    <comment ref="AV5" authorId="0">
      <text>
        <r>
          <rPr>
            <sz val="9"/>
            <rFont val="宋体"/>
            <charset val="134"/>
          </rPr>
          <t>小吱入战后立刻获得当前「金谷」存储上限100%的「金谷」。</t>
        </r>
      </text>
    </comment>
    <comment ref="AW5" authorId="0">
      <text>
        <r>
          <rPr>
            <sz val="9"/>
            <rFont val="宋体"/>
            <charset val="134"/>
          </rPr>
          <t>「金谷」造成的额外光属性异能伤害提高20%。</t>
        </r>
      </text>
    </comment>
    <comment ref="AZ5" authorId="0">
      <text>
        <r>
          <rPr>
            <sz val="9"/>
            <rFont val="宋体"/>
            <charset val="134"/>
          </rPr>
          <t>小吱自身造成的伤害降低目标10%光属性异能伤害抗性。</t>
        </r>
      </text>
    </comment>
    <comment ref="AR7" authorId="0">
      <text>
        <r>
          <rPr>
            <sz val="9"/>
            <rFont val="宋体"/>
            <charset val="134"/>
          </rPr>
          <t>娜娜莉每造成1次追加攻击，自身获得2.5点终结能量，该效果每1秒最多触发1次。</t>
        </r>
      </text>
    </comment>
    <comment ref="AS7" authorId="0">
      <text>
        <r>
          <rPr>
            <sz val="9"/>
            <rFont val="宋体"/>
            <charset val="134"/>
          </rPr>
          <t>「副手」的持续时间延长3秒。</t>
        </r>
      </text>
    </comment>
    <comment ref="AT7" authorId="0">
      <text>
        <r>
          <rPr>
            <sz val="9"/>
            <rFont val="宋体"/>
            <charset val="134"/>
          </rPr>
          <t>在「一代目的权柄」状态下，娜娜莉对敌人造成伤害时，将额外对单体敌人施加1次追加攻击，造成50%*攻击力的灵属性异能伤害，倍率跟随普通攻击技能等级成长。该效果每秒触发1次。</t>
        </r>
      </text>
    </comment>
    <comment ref="AU7" authorId="0">
      <text>
        <r>
          <rPr>
            <sz val="9"/>
            <rFont val="宋体"/>
            <charset val="134"/>
          </rPr>
          <t>「副手」造成的伤害提升30%。</t>
        </r>
      </text>
    </comment>
    <comment ref="AV7" authorId="0">
      <text>
        <r>
          <rPr>
            <sz val="9"/>
            <rFont val="宋体"/>
            <charset val="134"/>
          </rPr>
          <t>每造成1次追加攻击，都使得娜娜莉自身攻击力提升2%，至多可提升20%，该效果将在娜娜莉退场或脱离战斗状态后消失。</t>
        </r>
      </text>
    </comment>
    <comment ref="AW7" authorId="0">
      <text>
        <r>
          <rPr>
            <sz val="9"/>
            <rFont val="宋体"/>
            <charset val="134"/>
          </rPr>
          <t>「一代目的权柄」状态的持续时间延长至15秒，非战斗状态下额外延长至20秒。</t>
        </r>
      </text>
    </comment>
    <comment ref="AZ7" authorId="0">
      <text>
        <r>
          <rPr>
            <sz val="9"/>
            <rFont val="宋体"/>
            <charset val="134"/>
          </rPr>
          <t>娜娜莉造成的伤害额外提升10%。</t>
        </r>
      </text>
    </comment>
    <comment ref="AS8" authorId="1">
      <text>
        <r>
          <rPr>
            <sz val="9"/>
            <rFont val="宋体"/>
            <charset val="134"/>
          </rPr>
          <t>「致命玫约」的伤害倍率提升 100%。每当触发「致约清算」，会按该玫约已累积的总伤害的20%，为全队回复生命值。</t>
        </r>
      </text>
    </comment>
    <comment ref="AR11" authorId="0">
      <text>
        <r>
          <rPr>
            <sz val="9"/>
            <rFont val="宋体"/>
            <charset val="134"/>
          </rPr>
          <t>「极轨终结：千钧隆重的饕餮宴」造成的无法移动效果持续时间延长至6秒。</t>
        </r>
      </text>
    </comment>
    <comment ref="AS11" authorId="0">
      <text>
        <r>
          <rPr>
            <sz val="9"/>
            <rFont val="宋体"/>
            <charset val="134"/>
          </rPr>
          <t>「极轨终结：千钧隆重的饕餮宴」对于浮空的敌人额外造成伤害，额外伤害量随目标质量提升而提升，最大600%*攻击力。</t>
        </r>
      </text>
    </comment>
    <comment ref="AT11" authorId="0">
      <text>
        <r>
          <rPr>
            <sz val="9"/>
            <rFont val="宋体"/>
            <charset val="134"/>
          </rPr>
          <t>基于全队角色击败的敌人数量，在之后的15秒内提升「变轨技能：一口吞食」和「极轨终结：千钧隆重的饕餮宴」的伤害。每击败1名敌人，提升6%的伤害，累计最大提升60%，此效果脱战清空。</t>
        </r>
      </text>
    </comment>
    <comment ref="AU11" authorId="0">
      <text>
        <r>
          <rPr>
            <sz val="9"/>
            <rFont val="宋体"/>
            <charset val="134"/>
          </rPr>
          <t>释放「极轨终结：千钧隆重的饕餮宴」后，基于早雾基础攻击力的30%，提升全队角色（不包括早雾）的攻击力，持续20秒。</t>
        </r>
      </text>
    </comment>
    <comment ref="AV11" authorId="0">
      <text>
        <r>
          <rPr>
            <sz val="9"/>
            <rFont val="宋体"/>
            <charset val="134"/>
          </rPr>
          <t>「变轨技能：一口吞食」成功使目标浮空时，「极轨终结：千钧隆重的饕餮宴」立即蓄满终结能量，并清空冷却时间。</t>
        </r>
      </text>
    </comment>
    <comment ref="AW11" authorId="0">
      <text>
        <r>
          <rPr>
            <sz val="9"/>
            <rFont val="宋体"/>
            <charset val="134"/>
          </rPr>
          <t>鬼郎丸在「摄食模式」下，最多可吞噬并同时消化3个目标，每个目标独立计算消化时间。</t>
        </r>
      </text>
    </comment>
    <comment ref="AZ11" authorId="0">
      <text>
        <r>
          <rPr>
            <sz val="9"/>
            <rFont val="宋体"/>
            <charset val="134"/>
          </rPr>
          <t>目标每带有1个负面效果，早雾对其造成的伤害提升3%，累计最大提升12%。</t>
        </r>
      </text>
    </comment>
    <comment ref="AR12" authorId="0">
      <text>
        <r>
          <rPr>
            <sz val="9"/>
            <rFont val="宋体"/>
            <charset val="134"/>
          </rPr>
          <t>释放「极轨终结：万象澄寂」后，阿德勒为自身附加20层「业」。</t>
        </r>
      </text>
    </comment>
    <comment ref="AS12" authorId="0">
      <text>
        <r>
          <rPr>
            <sz val="9"/>
            <rFont val="宋体"/>
            <charset val="134"/>
          </rPr>
          <t>每层「业」为阿德勒提供的伤害加成提升至3%。</t>
        </r>
      </text>
    </comment>
    <comment ref="AT12" authorId="0">
      <text>
        <r>
          <rPr>
            <sz val="9"/>
            <rFont val="宋体"/>
            <charset val="134"/>
          </rPr>
          <t>「明悟之慧佑」的护盾吸收量提升20%。</t>
        </r>
      </text>
    </comment>
    <comment ref="AU12" authorId="0">
      <text>
        <r>
          <rPr>
            <sz val="9"/>
            <rFont val="宋体"/>
            <charset val="134"/>
          </rPr>
          <t>「明悟之慧佑」碎裂时，基于阿德勒50%防御力吸收部分溢出伤害。</t>
        </r>
      </text>
    </comment>
    <comment ref="AV12" authorId="0">
      <text>
        <r>
          <rPr>
            <sz val="9"/>
            <rFont val="宋体"/>
            <charset val="134"/>
          </rPr>
          <t>释放「极轨终结：万象澄寂」后，阿德勒返还20点终结能量。</t>
        </r>
      </text>
    </comment>
    <comment ref="AW12" authorId="0">
      <text>
        <r>
          <rPr>
            <sz val="9"/>
            <rFont val="宋体"/>
            <charset val="134"/>
          </rPr>
          <t>「明悟之慧佑」的持续时间延长至12秒。</t>
        </r>
      </text>
    </comment>
    <comment ref="AZ12" authorId="0">
      <text>
        <r>
          <rPr>
            <sz val="9"/>
            <rFont val="宋体"/>
            <charset val="134"/>
          </rPr>
          <t>处于「明悟之慧佑」庇护时，全队造成的咒属性异能伤害提升10%。</t>
        </r>
      </text>
    </comment>
    <comment ref="AR13" authorId="0">
      <text>
        <r>
          <rPr>
            <sz val="9"/>
            <rFont val="宋体"/>
            <charset val="134"/>
          </rPr>
          <t>「噩梦」的伤害倍率提升50%。</t>
        </r>
      </text>
    </comment>
    <comment ref="AS13" authorId="0">
      <text>
        <r>
          <rPr>
            <sz val="9"/>
            <rFont val="宋体"/>
            <charset val="134"/>
          </rPr>
          <t>安魂曲通过「援护技」入场时，自身造成的伤害提升15%，提升效果持续15秒。</t>
        </r>
      </text>
    </comment>
    <comment ref="AT13" authorId="0">
      <text>
        <r>
          <rPr>
            <sz val="9"/>
            <rFont val="宋体"/>
            <charset val="134"/>
          </rPr>
          <t>第5段「普通攻击：茄汁金属乐」或「普通攻击：茄汁打击乐」命中目标时，一次性结算目标当前已累积的全部「噩梦」效果。</t>
        </r>
      </text>
    </comment>
    <comment ref="AU13" authorId="0">
      <text>
        <r>
          <rPr>
            <sz val="9"/>
            <rFont val="宋体"/>
            <charset val="134"/>
          </rPr>
          <t>「噩梦」状态的持续时间延长至6秒。</t>
        </r>
      </text>
    </comment>
    <comment ref="AV13" authorId="0">
      <text>
        <r>
          <rPr>
            <sz val="9"/>
            <rFont val="宋体"/>
            <charset val="134"/>
          </rPr>
          <t>目标受到治疗时，不再移除「噩梦」层数；同时，基于单次「噩梦」伤害值的200%，削减目标的生命值上限。</t>
        </r>
      </text>
    </comment>
    <comment ref="AW13" authorId="0">
      <text>
        <r>
          <rPr>
            <sz val="9"/>
            <rFont val="宋体"/>
            <charset val="134"/>
          </rPr>
          <t>安魂曲释放「变轨技能：恶魔的礼物」后的5秒内，从任意可触发「黯星」「浊燃」「失谐」三种异能环合的角色切换至安魂曲时，无需累积「环合值」，即可自动释放「援护技」，并触发相应环合。</t>
        </r>
      </text>
    </comment>
    <comment ref="AZ13" authorId="0">
      <text>
        <r>
          <rPr>
            <sz val="9"/>
            <rFont val="宋体"/>
            <charset val="134"/>
          </rPr>
          <t>安魂曲造成的伤害，无视目标10%防御力。</t>
        </r>
      </text>
    </comment>
    <comment ref="AR16" authorId="0">
      <text>
        <r>
          <rPr>
            <sz val="9"/>
            <rFont val="宋体"/>
            <charset val="134"/>
          </rPr>
          <t>「超异科魔法炮」的弹射次数上限提升至6次。</t>
        </r>
      </text>
    </comment>
    <comment ref="AS16" authorId="0">
      <text>
        <r>
          <rPr>
            <sz val="9"/>
            <rFont val="宋体"/>
            <charset val="134"/>
          </rPr>
          <t>「咕咕子」的持续时间增加4秒。</t>
        </r>
      </text>
    </comment>
    <comment ref="AT16" authorId="0">
      <text>
        <r>
          <rPr>
            <sz val="9"/>
            <rFont val="宋体"/>
            <charset val="134"/>
          </rPr>
          <t>处于「超异科王牌」状态时，使得哈尼娅自身的暴击率提升20%。</t>
        </r>
      </text>
    </comment>
    <comment ref="AU16" authorId="0">
      <text>
        <r>
          <rPr>
            <sz val="9"/>
            <rFont val="宋体"/>
            <charset val="134"/>
          </rPr>
          <t>处于「超异科王牌」状态时，若由哈尼娅触发「合奏」，则哈尼娅下次攻击附加的额外伤害提升100%。</t>
        </r>
      </text>
    </comment>
    <comment ref="AV16" authorId="0">
      <text>
        <r>
          <rPr>
            <sz val="9"/>
            <rFont val="宋体"/>
            <charset val="134"/>
          </rPr>
          <t>处于「超异科王牌」状态时，哈尼娅自身造成的魂属性异能伤害增加30%。</t>
        </r>
      </text>
    </comment>
    <comment ref="AW16" authorId="0">
      <text>
        <r>
          <rPr>
            <sz val="9"/>
            <rFont val="宋体"/>
            <charset val="134"/>
          </rPr>
          <t>「咕咕子」的冷却时间减少4秒。</t>
        </r>
      </text>
    </comment>
    <comment ref="AZ16" authorId="0">
      <text>
        <r>
          <rPr>
            <sz val="9"/>
            <rFont val="宋体"/>
            <charset val="134"/>
          </rPr>
          <t>处于「超异科王牌」状态时，全队的暴击伤害提升12%。</t>
        </r>
      </text>
    </comment>
    <comment ref="AR18" authorId="0">
      <text>
        <r>
          <rPr>
            <sz val="9"/>
            <rFont val="宋体"/>
            <charset val="134"/>
          </rPr>
          <t>「兽牙影刺」自动攻击的伤害倍率提升60%。</t>
        </r>
      </text>
    </comment>
    <comment ref="AS18" authorId="0">
      <text>
        <r>
          <rPr>
            <sz val="9"/>
            <rFont val="宋体"/>
            <charset val="134"/>
          </rPr>
          <t>翳在释放「变轨技能：潜影追击」后，使自身的暴击率提升10%，抗打断能力提升50%，持续15秒。</t>
        </r>
      </text>
    </comment>
    <comment ref="AT18" authorId="0">
      <text>
        <r>
          <rPr>
            <sz val="9"/>
            <rFont val="宋体"/>
            <charset val="134"/>
          </rPr>
          <t>翳对已被「兽牙影刺」锁定的目标造成的伤害提升4%。
如果场上仅有一个被「兽牙影刺」锁定的目标，翳对其造成的伤害额外提升4%。</t>
        </r>
      </text>
    </comment>
    <comment ref="AU18" authorId="0">
      <text>
        <r>
          <rPr>
            <sz val="9"/>
            <rFont val="宋体"/>
            <charset val="134"/>
          </rPr>
          <t>「尾追」状态的持续时间延长至12秒。目标每被附着1秒，受到的附着伤害提高2%，最高提升至40%。</t>
        </r>
      </text>
    </comment>
    <comment ref="AV18" authorId="0">
      <text>
        <r>
          <rPr>
            <sz val="9"/>
            <rFont val="宋体"/>
            <charset val="134"/>
          </rPr>
          <t>目标每被1个「兽牙影刺」锁定，质量提升50点，移动速度降低20%。</t>
        </r>
      </text>
    </comment>
    <comment ref="AW18" authorId="0">
      <text>
        <r>
          <rPr>
            <sz val="9"/>
            <rFont val="宋体"/>
            <charset val="134"/>
          </rPr>
          <t>「啮逐潜影」模式下，触碰已被「兽牙影刺」锁定的敌方目标，使「兽牙影刺」造成的额外伤害倍率提升20%。</t>
        </r>
      </text>
    </comment>
    <comment ref="AZ18" authorId="0">
      <text>
        <r>
          <rPr>
            <sz val="9"/>
            <rFont val="宋体"/>
            <charset val="134"/>
          </rPr>
          <t>每个「兽牙影刺」降低其锁定目标2%的相异能属性抗性，最多降低6%。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2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注意，统计的时候大小写不敏感；角色的动作不能有重复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<sst xmlns="http://schemas.openxmlformats.org/spreadsheetml/2006/main" count="2809" uniqueCount="568">
  <si>
    <t>异环云配队 V0.1.1       作者：静默之光</t>
  </si>
  <si>
    <t>内测阶段，请勿转载</t>
  </si>
  <si>
    <t>角色</t>
  </si>
  <si>
    <t>装备弧盘</t>
  </si>
  <si>
    <t>装备卡带</t>
  </si>
  <si>
    <t>觉醒数</t>
  </si>
  <si>
    <t>统计区</t>
  </si>
  <si>
    <t>贡献伤害</t>
  </si>
  <si>
    <t>贡献倾陷</t>
  </si>
  <si>
    <t>累计回能</t>
  </si>
  <si>
    <t>累计环合</t>
  </si>
  <si>
    <t>其他伤害</t>
  </si>
  <si>
    <t>娜娜莉</t>
  </si>
  <si>
    <t>e</t>
  </si>
  <si>
    <t>q</t>
  </si>
  <si>
    <t>5a</t>
  </si>
  <si>
    <t>5a副手</t>
  </si>
  <si>
    <t>闪反</t>
  </si>
  <si>
    <t>闪反副手</t>
  </si>
  <si>
    <t>C觉追击</t>
  </si>
  <si>
    <t>累计伤害</t>
  </si>
  <si>
    <t>主角</t>
  </si>
  <si>
    <t>援护</t>
  </si>
  <si>
    <t>阿德勒</t>
  </si>
  <si>
    <t>dot10跳</t>
  </si>
  <si>
    <t>DPS</t>
  </si>
  <si>
    <t>九原</t>
  </si>
  <si>
    <t>q清算</t>
  </si>
  <si>
    <t>6枪</t>
  </si>
  <si>
    <t>dot</t>
  </si>
  <si>
    <t>清算</t>
  </si>
  <si>
    <t>角色等级</t>
  </si>
  <si>
    <t>怪物等级</t>
  </si>
  <si>
    <t>倾陷上限</t>
  </si>
  <si>
    <t>重复</t>
  </si>
  <si>
    <t>累计时间</t>
  </si>
  <si>
    <t>创生</t>
  </si>
  <si>
    <t>动作伤害</t>
  </si>
  <si>
    <t>浊燃</t>
  </si>
  <si>
    <t>怪物抗性</t>
  </si>
  <si>
    <t>怪物弱点</t>
  </si>
  <si>
    <t>弱点减抗</t>
  </si>
  <si>
    <t>累计耗时</t>
  </si>
  <si>
    <t>累计倾陷</t>
  </si>
  <si>
    <t>黯星</t>
  </si>
  <si>
    <t>反应</t>
  </si>
  <si>
    <t>倾陷</t>
  </si>
  <si>
    <t>对敌类型</t>
  </si>
  <si>
    <t>早雾DOT
层数</t>
  </si>
  <si>
    <t>倾陷状态</t>
  </si>
  <si>
    <t>指定轴长</t>
  </si>
  <si>
    <t>倾陷频率</t>
  </si>
  <si>
    <t>BOSS</t>
  </si>
  <si>
    <t>反应贡献</t>
  </si>
  <si>
    <t>全队最高</t>
  </si>
  <si>
    <t>BUFF</t>
  </si>
  <si>
    <t>自身buff1</t>
  </si>
  <si>
    <t>娜娜莉E暴伤</t>
  </si>
  <si>
    <t>阿德勒6命Q后E</t>
  </si>
  <si>
    <t>覆盖率</t>
  </si>
  <si>
    <t>自身buff2</t>
  </si>
  <si>
    <t>全队buff1</t>
  </si>
  <si>
    <t>全队buff2</t>
  </si>
  <si>
    <t>全队buff3</t>
  </si>
  <si>
    <t>全队buff4</t>
  </si>
  <si>
    <t>全队buff5</t>
  </si>
  <si>
    <t>全队buff6</t>
  </si>
  <si>
    <t>卡带buff1</t>
  </si>
  <si>
    <t>光套减防</t>
  </si>
  <si>
    <t>卡带buff2</t>
  </si>
  <si>
    <t>音速蓝刺猬</t>
  </si>
  <si>
    <t>卡带buff3</t>
  </si>
  <si>
    <t>卡带buff4</t>
  </si>
  <si>
    <t>弧盘buff1</t>
  </si>
  <si>
    <t>预备备开Q非普攻</t>
  </si>
  <si>
    <t>预备备开Q普攻</t>
  </si>
  <si>
    <t>弧盘buff2</t>
  </si>
  <si>
    <t>弧盘buff3</t>
  </si>
  <si>
    <t>弧盘buff4</t>
  </si>
  <si>
    <t>属性</t>
  </si>
  <si>
    <t>适配</t>
  </si>
  <si>
    <t>基础攻击</t>
  </si>
  <si>
    <t>大攻击区</t>
  </si>
  <si>
    <t>小攻击区</t>
  </si>
  <si>
    <t>面板攻击</t>
  </si>
  <si>
    <t>基础生命</t>
  </si>
  <si>
    <t>大生命区</t>
  </si>
  <si>
    <t>小生命区</t>
  </si>
  <si>
    <t>面板生命</t>
  </si>
  <si>
    <t>基础防御</t>
  </si>
  <si>
    <t>大防御区</t>
  </si>
  <si>
    <t>小防御区</t>
  </si>
  <si>
    <t>面板防御</t>
  </si>
  <si>
    <t>面板暴击</t>
  </si>
  <si>
    <t>面板暴伤</t>
  </si>
  <si>
    <t>面板属伤</t>
  </si>
  <si>
    <t>面板充能</t>
  </si>
  <si>
    <t>面板精通</t>
  </si>
  <si>
    <t>面板倾陷</t>
  </si>
  <si>
    <t>弧盘</t>
  </si>
  <si>
    <t>详情</t>
  </si>
  <si>
    <t>卡带</t>
  </si>
  <si>
    <t>技能等级
不含3命</t>
  </si>
  <si>
    <t>等级区</t>
  </si>
  <si>
    <t>卡带
主词条</t>
  </si>
  <si>
    <t>空幕加成</t>
  </si>
  <si>
    <t>空幕属性</t>
  </si>
  <si>
    <t>空幕被动</t>
  </si>
  <si>
    <t>空幕被动层数</t>
  </si>
  <si>
    <t>全伤
1%/B</t>
  </si>
  <si>
    <t>暴击
1%/B</t>
  </si>
  <si>
    <t>暴伤
2%/B</t>
  </si>
  <si>
    <t>精通
6/B</t>
  </si>
  <si>
    <t>倾陷强度
6/B</t>
  </si>
  <si>
    <t>攻击%
1.25%/B</t>
  </si>
  <si>
    <t>攻击
8/B</t>
  </si>
  <si>
    <t>生命%
1.25%/B</t>
  </si>
  <si>
    <t>生命
100/B</t>
  </si>
  <si>
    <t>防御%
1.75%/B</t>
  </si>
  <si>
    <t>防御
8/B</t>
  </si>
  <si>
    <t>觉醒A</t>
  </si>
  <si>
    <t>觉醒B</t>
  </si>
  <si>
    <t>觉醒C</t>
  </si>
  <si>
    <t>觉醒D</t>
  </si>
  <si>
    <t>觉醒E</t>
  </si>
  <si>
    <t>觉醒F</t>
  </si>
  <si>
    <t>3命</t>
  </si>
  <si>
    <t>6命</t>
  </si>
  <si>
    <t>固态</t>
  </si>
  <si>
    <t>休息日</t>
  </si>
  <si>
    <t>失落光芒</t>
  </si>
  <si>
    <t>精通</t>
  </si>
  <si>
    <t>攻击</t>
  </si>
  <si>
    <t>浔</t>
  </si>
  <si>
    <t>行进于时间之外</t>
  </si>
  <si>
    <t>暴击</t>
  </si>
  <si>
    <t>属伤</t>
  </si>
  <si>
    <t>小吱</t>
  </si>
  <si>
    <t>光</t>
  </si>
  <si>
    <t>气态</t>
  </si>
  <si>
    <t>思考喵</t>
  </si>
  <si>
    <t>埃德嘉</t>
  </si>
  <si>
    <t>液态</t>
  </si>
  <si>
    <t>扭曲之城的呼唤</t>
  </si>
  <si>
    <t>缇娅的夜间酒馆</t>
  </si>
  <si>
    <t>治疗</t>
  </si>
  <si>
    <t>生命</t>
  </si>
  <si>
    <t>等离子</t>
  </si>
  <si>
    <t>预备备</t>
  </si>
  <si>
    <t>森林萤火之心</t>
  </si>
  <si>
    <t>现实避难所</t>
  </si>
  <si>
    <t>薄荷</t>
  </si>
  <si>
    <t>开始净空</t>
  </si>
  <si>
    <t>白藏</t>
  </si>
  <si>
    <t>聚合</t>
  </si>
  <si>
    <t>茶花会</t>
  </si>
  <si>
    <t>真红：双生蝶</t>
  </si>
  <si>
    <t>早雾</t>
  </si>
  <si>
    <t>好狗狗走四方</t>
  </si>
  <si>
    <t>勿忘伞</t>
  </si>
  <si>
    <t>守卫王国</t>
  </si>
  <si>
    <t>防御</t>
  </si>
  <si>
    <t>安魂曲</t>
  </si>
  <si>
    <t>「最后一朵玫瑰」</t>
  </si>
  <si>
    <t>迪亚波罗斯</t>
  </si>
  <si>
    <t>达芙蒂尔</t>
  </si>
  <si>
    <t>漆黑青春妄想</t>
  </si>
  <si>
    <t>法帝娅</t>
  </si>
  <si>
    <t>永恒圆舞曲</t>
  </si>
  <si>
    <t>哈尼娅</t>
  </si>
  <si>
    <t>引爆全场</t>
  </si>
  <si>
    <t>哈索尔</t>
  </si>
  <si>
    <t>焰魂狂飙</t>
  </si>
  <si>
    <t>街头拳王</t>
  </si>
  <si>
    <t>翳</t>
  </si>
  <si>
    <t>当心头顶</t>
  </si>
  <si>
    <t>增益</t>
  </si>
  <si>
    <t>易伤</t>
  </si>
  <si>
    <t>减防</t>
  </si>
  <si>
    <t>减抗</t>
  </si>
  <si>
    <t>攻击%</t>
  </si>
  <si>
    <t>生命%</t>
  </si>
  <si>
    <t>防御%</t>
  </si>
  <si>
    <t>倾陷效率</t>
  </si>
  <si>
    <t>充能效率</t>
  </si>
  <si>
    <t>充能分享</t>
  </si>
  <si>
    <t>增伤</t>
  </si>
  <si>
    <t>暴伤</t>
  </si>
  <si>
    <t>小吱收集癖</t>
  </si>
  <si>
    <t>主角E觉加攻</t>
  </si>
  <si>
    <t>哈索尔Q加攻</t>
  </si>
  <si>
    <t>哈尼娅Q期间</t>
  </si>
  <si>
    <t>阿德勒Q后E</t>
  </si>
  <si>
    <t>薄荷C觉反应加攻</t>
  </si>
  <si>
    <t>薄荷F觉低血增伤</t>
  </si>
  <si>
    <t>主角6命全队加攻</t>
  </si>
  <si>
    <t>早雾DOT增伤</t>
  </si>
  <si>
    <t>早雾天赋</t>
  </si>
  <si>
    <t>哈尼娅E</t>
  </si>
  <si>
    <t>哈尼娅Q</t>
  </si>
  <si>
    <t>哈尼娅黯星</t>
  </si>
  <si>
    <t>阿德勒浊燃-平均</t>
  </si>
  <si>
    <t>阿德勒6命咒伤</t>
  </si>
  <si>
    <t>翳D觉附着伤</t>
  </si>
  <si>
    <t>翳6命相抗</t>
  </si>
  <si>
    <t>暗套二级减抗</t>
  </si>
  <si>
    <t>暗套环合减抗</t>
  </si>
  <si>
    <t>好狗狗走四方基础</t>
  </si>
  <si>
    <t>好狗狗走四方控住</t>
  </si>
  <si>
    <t>引爆全场加攻</t>
  </si>
  <si>
    <t>引爆全场最低</t>
  </si>
  <si>
    <t>挂心难加攻</t>
  </si>
  <si>
    <t>行进时间外开Q</t>
  </si>
  <si>
    <t>焰魂狂飙1层</t>
  </si>
  <si>
    <t>焰魂狂飙2层</t>
  </si>
  <si>
    <t>漆黑青春妄想调弧</t>
  </si>
  <si>
    <t>伤害类型</t>
  </si>
  <si>
    <t>总伤害</t>
  </si>
  <si>
    <t>总倾陷</t>
  </si>
  <si>
    <t>总源质</t>
  </si>
  <si>
    <t>总环合</t>
  </si>
  <si>
    <t>动作占比</t>
  </si>
  <si>
    <t>主词条</t>
  </si>
  <si>
    <t>紫品质</t>
  </si>
  <si>
    <t>金品质</t>
  </si>
  <si>
    <t>对BOSS</t>
  </si>
  <si>
    <t>增幅</t>
  </si>
  <si>
    <t>系数</t>
  </si>
  <si>
    <t>额外标签</t>
  </si>
  <si>
    <t>选项</t>
  </si>
  <si>
    <t>参与反应</t>
  </si>
  <si>
    <t>增幅精通</t>
  </si>
  <si>
    <t>弱点</t>
  </si>
  <si>
    <t>角色1</t>
  </si>
  <si>
    <t>首角色动作贡献占比</t>
  </si>
  <si>
    <t>精通贡献</t>
  </si>
  <si>
    <t>灵</t>
  </si>
  <si>
    <t>咒</t>
  </si>
  <si>
    <t>暗</t>
  </si>
  <si>
    <t>魂</t>
  </si>
  <si>
    <t>相</t>
  </si>
  <si>
    <t>E</t>
  </si>
  <si>
    <t>角色2</t>
  </si>
  <si>
    <t>延滞</t>
  </si>
  <si>
    <t>心灵</t>
  </si>
  <si>
    <t>连携</t>
  </si>
  <si>
    <t>Q</t>
  </si>
  <si>
    <t>角色3</t>
  </si>
  <si>
    <t>附着</t>
  </si>
  <si>
    <t>赋纹</t>
  </si>
  <si>
    <t>普攻</t>
  </si>
  <si>
    <t>角色4</t>
  </si>
  <si>
    <t>追击</t>
  </si>
  <si>
    <t>DOT</t>
  </si>
  <si>
    <t>下落</t>
  </si>
  <si>
    <t>侵染</t>
  </si>
  <si>
    <t>无</t>
  </si>
  <si>
    <t>失谐</t>
  </si>
  <si>
    <t>盈蓄</t>
  </si>
  <si>
    <t>总时间</t>
  </si>
  <si>
    <t>等级</t>
  </si>
  <si>
    <t>水位线</t>
  </si>
  <si>
    <t>驱动块主词条</t>
  </si>
  <si>
    <t>小攻击</t>
  </si>
  <si>
    <t>动作轴</t>
  </si>
  <si>
    <t>小生命</t>
  </si>
  <si>
    <t>弧盘副属性1级是满级的40%</t>
  </si>
  <si>
    <t>卡带副词条等价10个驱动格子</t>
  </si>
  <si>
    <t>驱动块一个格子</t>
  </si>
  <si>
    <t>三测</t>
  </si>
  <si>
    <t>主攻击19.25（38/58/77）</t>
  </si>
  <si>
    <t>主生命256</t>
  </si>
  <si>
    <t>小攻击防御6.5（13/19/26）</t>
  </si>
  <si>
    <t>小生命82.3（165/247/330）</t>
  </si>
  <si>
    <t>大防御1.4%</t>
  </si>
  <si>
    <t>大攻击生命1%</t>
  </si>
  <si>
    <t>伤害/暴击0.8%</t>
  </si>
  <si>
    <t>暴伤1.6%</t>
  </si>
  <si>
    <t>倾陷精通4.8（10/14/19）</t>
  </si>
  <si>
    <t>动作</t>
  </si>
  <si>
    <t>攻击倍率</t>
  </si>
  <si>
    <t>生命倍率</t>
  </si>
  <si>
    <t>防御倍率</t>
  </si>
  <si>
    <t>伤害值</t>
  </si>
  <si>
    <t>合轴时间</t>
  </si>
  <si>
    <t>回能</t>
  </si>
  <si>
    <t>环合</t>
  </si>
  <si>
    <t>说明</t>
  </si>
  <si>
    <t>返还能量</t>
  </si>
  <si>
    <t>e额外</t>
  </si>
  <si>
    <t>蓄力</t>
  </si>
  <si>
    <t>分支</t>
  </si>
  <si>
    <t>e1</t>
  </si>
  <si>
    <t>环合显示5</t>
  </si>
  <si>
    <t>e2</t>
  </si>
  <si>
    <t>环合显示9</t>
  </si>
  <si>
    <t>e3</t>
  </si>
  <si>
    <t>环合显示13</t>
  </si>
  <si>
    <t>长e半</t>
  </si>
  <si>
    <t>长e满</t>
  </si>
  <si>
    <t>q内e2</t>
  </si>
  <si>
    <t>q内满e1</t>
  </si>
  <si>
    <t>q内满e2</t>
  </si>
  <si>
    <t>q内满e3</t>
  </si>
  <si>
    <t>天赋追击</t>
  </si>
  <si>
    <t>环合显示33</t>
  </si>
  <si>
    <t>3z</t>
  </si>
  <si>
    <t>3z副手</t>
  </si>
  <si>
    <t>下落副手</t>
  </si>
  <si>
    <t>环合显示12</t>
  </si>
  <si>
    <t>e副手</t>
  </si>
  <si>
    <t>环合显示21</t>
  </si>
  <si>
    <t>3a</t>
  </si>
  <si>
    <t>长闪</t>
  </si>
  <si>
    <t>祝额外</t>
  </si>
  <si>
    <t>单E</t>
  </si>
  <si>
    <t>单E额外</t>
  </si>
  <si>
    <t>范E</t>
  </si>
  <si>
    <t>范E额外</t>
  </si>
  <si>
    <t>q的dot</t>
  </si>
  <si>
    <t>环合显示20</t>
  </si>
  <si>
    <t>长e</t>
  </si>
  <si>
    <t>B觉额外</t>
  </si>
  <si>
    <t>5a近</t>
  </si>
  <si>
    <t>含一次爆炸</t>
  </si>
  <si>
    <t>5a远</t>
  </si>
  <si>
    <t>切换</t>
  </si>
  <si>
    <t>环合显示6</t>
  </si>
  <si>
    <t>移行</t>
  </si>
  <si>
    <t>强化移行</t>
  </si>
  <si>
    <t>1层e</t>
  </si>
  <si>
    <t>2层e</t>
  </si>
  <si>
    <t>环合显示19</t>
  </si>
  <si>
    <t>q后5a</t>
  </si>
  <si>
    <t>后台</t>
  </si>
  <si>
    <t>强化后台</t>
  </si>
  <si>
    <t>有20倍率可能是倍率拐</t>
  </si>
  <si>
    <t>e持续</t>
  </si>
  <si>
    <t>E1</t>
  </si>
  <si>
    <t>环合显示10</t>
  </si>
  <si>
    <t>E2</t>
  </si>
  <si>
    <t>E3</t>
  </si>
  <si>
    <t>兽牙</t>
  </si>
  <si>
    <t>星级</t>
  </si>
  <si>
    <t>1级攻击</t>
  </si>
  <si>
    <t>1级生命</t>
  </si>
  <si>
    <t>1级防御</t>
  </si>
  <si>
    <t>充能</t>
  </si>
  <si>
    <t>倾陷强度</t>
  </si>
  <si>
    <t>全伤</t>
  </si>
  <si>
    <t>普攻伤</t>
  </si>
  <si>
    <t>E伤</t>
  </si>
  <si>
    <t>Q伤</t>
  </si>
  <si>
    <t>心灵伤</t>
  </si>
  <si>
    <t>附着伤</t>
  </si>
  <si>
    <t>追击伤</t>
  </si>
  <si>
    <t>失衡增伤</t>
  </si>
  <si>
    <t>大招消耗</t>
  </si>
  <si>
    <t>E冷却</t>
  </si>
  <si>
    <t>Q冷却</t>
  </si>
  <si>
    <t>S</t>
  </si>
  <si>
    <t>A</t>
  </si>
  <si>
    <t>14/14</t>
  </si>
  <si>
    <t>激活</t>
  </si>
  <si>
    <t>创生株数</t>
  </si>
  <si>
    <t>创生朵数</t>
  </si>
  <si>
    <t>浊燃增伤</t>
  </si>
  <si>
    <t>80级攻击</t>
  </si>
  <si>
    <t>获取</t>
  </si>
  <si>
    <t>普攻增伤</t>
  </si>
  <si>
    <t>E增伤</t>
  </si>
  <si>
    <t>Q增伤</t>
  </si>
  <si>
    <t>潜意增伤</t>
  </si>
  <si>
    <t>附着增伤</t>
  </si>
  <si>
    <t>追击增伤</t>
  </si>
  <si>
    <t>治疗效率</t>
  </si>
  <si>
    <t>护盾强度</t>
  </si>
  <si>
    <t>限定研募</t>
  </si>
  <si>
    <r>
      <rPr>
        <sz val="11"/>
        <color theme="1"/>
        <rFont val="微软雅黑"/>
        <charset val="134"/>
      </rPr>
      <t>16攻击；</t>
    </r>
    <r>
      <rPr>
        <u/>
        <sz val="11"/>
        <color theme="1"/>
        <rFont val="微软雅黑"/>
        <charset val="134"/>
      </rPr>
      <t>e后每秒q的45暴伤和12减防</t>
    </r>
  </si>
  <si>
    <t>无畏之棉</t>
  </si>
  <si>
    <t>大月卡</t>
  </si>
  <si>
    <t>Q后25攻击</t>
  </si>
  <si>
    <t>无畏之棉·满精</t>
  </si>
  <si>
    <t>Q后45攻击</t>
  </si>
  <si>
    <t>千金难买你开心</t>
  </si>
  <si>
    <t>许愿币</t>
  </si>
  <si>
    <r>
      <rPr>
        <sz val="11"/>
        <color theme="1"/>
        <rFont val="微软雅黑"/>
        <charset val="134"/>
      </rPr>
      <t>24生命；</t>
    </r>
    <r>
      <rPr>
        <u/>
        <sz val="11"/>
        <color theme="1"/>
        <rFont val="微软雅黑"/>
        <charset val="134"/>
      </rPr>
      <t>q后回复效果</t>
    </r>
  </si>
  <si>
    <t>海特洛的安宁</t>
  </si>
  <si>
    <t>通行正义</t>
  </si>
  <si>
    <t>15攻击；对boss15增伤；调弧：协同30秒，CD60秒</t>
  </si>
  <si>
    <t>日蚀</t>
  </si>
  <si>
    <r>
      <rPr>
        <sz val="11"/>
        <color theme="1"/>
        <rFont val="微软雅黑"/>
        <charset val="134"/>
      </rPr>
      <t>30攻击；</t>
    </r>
    <r>
      <rPr>
        <u/>
        <sz val="11"/>
        <color theme="1"/>
        <rFont val="微软雅黑"/>
        <charset val="134"/>
      </rPr>
      <t>调弧：对群回能</t>
    </r>
  </si>
  <si>
    <t>斑蝶</t>
  </si>
  <si>
    <t>15灵伤；10附着伤，q后改20附着伤</t>
  </si>
  <si>
    <t>音霸魔王</t>
  </si>
  <si>
    <t>12-32%魂伤</t>
  </si>
  <si>
    <t>引爆全场外借</t>
  </si>
  <si>
    <t>时间大盗</t>
  </si>
  <si>
    <t>撬撬（未发现）</t>
  </si>
  <si>
    <r>
      <rPr>
        <sz val="11"/>
        <color theme="1"/>
        <rFont val="微软雅黑"/>
        <charset val="134"/>
      </rPr>
      <t>e后162倾陷，10s；</t>
    </r>
    <r>
      <rPr>
        <u/>
        <sz val="11"/>
        <color theme="1"/>
        <rFont val="微软雅黑"/>
        <charset val="134"/>
      </rPr>
      <t>调弧开锁</t>
    </r>
  </si>
  <si>
    <t>被遗忘者</t>
  </si>
  <si>
    <t>无画框&amp;集市</t>
  </si>
  <si>
    <r>
      <rPr>
        <sz val="11"/>
        <color theme="1"/>
        <rFont val="微软雅黑"/>
        <charset val="134"/>
      </rPr>
      <t>36攻击；</t>
    </r>
    <r>
      <rPr>
        <strike/>
        <sz val="11"/>
        <color theme="1"/>
        <rFont val="微软雅黑"/>
        <charset val="134"/>
      </rPr>
      <t>残血改36防御</t>
    </r>
  </si>
  <si>
    <t>成功的第一步</t>
  </si>
  <si>
    <t>B</t>
  </si>
  <si>
    <t>集市</t>
  </si>
  <si>
    <t>e后16攻击，10s，cd20s</t>
  </si>
  <si>
    <r>
      <rPr>
        <sz val="11"/>
        <color theme="1"/>
        <rFont val="微软雅黑"/>
        <charset val="134"/>
      </rPr>
      <t>14攻击；叠层60暴伤；</t>
    </r>
    <r>
      <rPr>
        <u/>
        <sz val="11"/>
        <color theme="1"/>
        <rFont val="微软雅黑"/>
        <charset val="134"/>
      </rPr>
      <t>倾陷延时3s</t>
    </r>
  </si>
  <si>
    <t>极速之棉</t>
  </si>
  <si>
    <t>前台驻场每秒5攻击5层</t>
  </si>
  <si>
    <t>极速之棉·满精</t>
  </si>
  <si>
    <t>前台驻场每秒9攻击5层</t>
  </si>
  <si>
    <t>黑之书</t>
  </si>
  <si>
    <t>60倾陷；调弧：20暗伤、倾陷200%倍率</t>
  </si>
  <si>
    <t>瓦楞城堡</t>
  </si>
  <si>
    <t>e后治疗效率20%</t>
  </si>
  <si>
    <t>闪耀每一天</t>
  </si>
  <si>
    <t>胶卷-MANISHI</t>
  </si>
  <si>
    <t>84倾陷强度；失衡增伤18%</t>
  </si>
  <si>
    <t>灵感大逃杀</t>
  </si>
  <si>
    <t>灵感终结者</t>
  </si>
  <si>
    <t>E后18能量，20秒cd</t>
  </si>
  <si>
    <t>纸翼战队&amp;集市</t>
  </si>
  <si>
    <t>EQ35灵伤</t>
  </si>
  <si>
    <t>电音狂欢</t>
  </si>
  <si>
    <t>e伤16%</t>
  </si>
  <si>
    <t>灵敏之棉</t>
  </si>
  <si>
    <t>闪反8%增伤；3层10秒</t>
  </si>
  <si>
    <t>灵敏之棉·满精</t>
  </si>
  <si>
    <t>闪反14.4%增伤；3层10秒</t>
  </si>
  <si>
    <t>都市大亨</t>
  </si>
  <si>
    <t>100万方斯叠满25光伤</t>
  </si>
  <si>
    <t>思考喵·满精</t>
  </si>
  <si>
    <t>100万方斯叠满45光伤</t>
  </si>
  <si>
    <t>面具下的泪</t>
  </si>
  <si>
    <t>囿巢鸟</t>
  </si>
  <si>
    <t>Q命中敌人减攻</t>
  </si>
  <si>
    <t>墨菲克斯</t>
  </si>
  <si>
    <r>
      <rPr>
        <sz val="11"/>
        <color theme="1"/>
        <rFont val="微软雅黑"/>
        <charset val="134"/>
      </rPr>
      <t>18充能；</t>
    </r>
    <r>
      <rPr>
        <u/>
        <sz val="11"/>
        <color theme="1"/>
        <rFont val="微软雅黑"/>
        <charset val="134"/>
      </rPr>
      <t>Q后全队10%攻击，控住额外6%，20秒</t>
    </r>
  </si>
  <si>
    <t>光波眩晕，迷走狂欢</t>
  </si>
  <si>
    <t>波普</t>
  </si>
  <si>
    <t>援护技后10秒内造成的伤害提高30%。20秒一次。</t>
  </si>
  <si>
    <t>诡面筝&amp;集市</t>
  </si>
  <si>
    <t>E后18%攻击力，相环合敌人下，额外18%相伤，持续15秒</t>
  </si>
  <si>
    <t>挂你在心口难开</t>
  </si>
  <si>
    <t>蜘识藏家</t>
  </si>
  <si>
    <r>
      <rPr>
        <sz val="11"/>
        <color theme="1"/>
        <rFont val="微软雅黑"/>
        <charset val="134"/>
      </rPr>
      <t>普攻叠8层后，</t>
    </r>
    <r>
      <rPr>
        <u/>
        <sz val="11"/>
        <color theme="1"/>
        <rFont val="微软雅黑"/>
        <charset val="134"/>
      </rPr>
      <t>Q后全队16攻击</t>
    </r>
  </si>
  <si>
    <t>笑口常开</t>
  </si>
  <si>
    <t>杀敌回血</t>
  </si>
  <si>
    <t>15攻击；eq后普攻增伤15%，15秒2层；调弧(eq)：10对boss增伤，10秒</t>
  </si>
  <si>
    <t>不屈之绵</t>
  </si>
  <si>
    <t>22增伤；半血下提升至28%</t>
  </si>
  <si>
    <t>不屈之绵·满精</t>
  </si>
  <si>
    <t>38增伤；半血下提升至52%</t>
  </si>
  <si>
    <t>鲸之歌</t>
  </si>
  <si>
    <t>深蓝之恸</t>
  </si>
  <si>
    <t>12%攻击，倾陷增伤12%</t>
  </si>
  <si>
    <t>无首铁驭</t>
  </si>
  <si>
    <t>Q后22.5E伤，每次额外提升15</t>
  </si>
  <si>
    <t>拔刀</t>
  </si>
  <si>
    <t>血染妖刀&amp;集市</t>
  </si>
  <si>
    <t>招架额外200%倍率咒伤</t>
  </si>
  <si>
    <t>欧拉欧拉！</t>
  </si>
  <si>
    <t>欧拉拳套</t>
  </si>
  <si>
    <t>叠层普伤3.6*10,10秒</t>
  </si>
  <si>
    <t>「我们。」</t>
  </si>
  <si>
    <t>普伤16%</t>
  </si>
  <si>
    <t>凶猛之棉</t>
  </si>
  <si>
    <t>触发暴击，叠层40暴伤</t>
  </si>
  <si>
    <t>凶猛之棉·满精</t>
  </si>
  <si>
    <t>触发暴击，叠层72暴伤</t>
  </si>
  <si>
    <t>静默庭园</t>
  </si>
  <si>
    <t>扣血后12暴伤*4，5秒；调弧120倍率</t>
  </si>
  <si>
    <t>阿拉克涅</t>
  </si>
  <si>
    <t>25生命；Q后20潜意伤，10秒</t>
  </si>
  <si>
    <t>该死的邂逅</t>
  </si>
  <si>
    <t>团三郎</t>
  </si>
  <si>
    <t>3同属性队，该属性126倾陷强度</t>
  </si>
  <si>
    <t>愚者种春</t>
  </si>
  <si>
    <t>夏刑草</t>
  </si>
  <si>
    <t>拥有护盾时加攻30%</t>
  </si>
  <si>
    <t>良药苦口</t>
  </si>
  <si>
    <t>苦蛋糕</t>
  </si>
  <si>
    <t>挨打46防御，持续10s，cd20s</t>
  </si>
  <si>
    <t>雨人&amp;集市</t>
  </si>
  <si>
    <t>18生命；18护盾强度</t>
  </si>
  <si>
    <t>终有时</t>
  </si>
  <si>
    <t>起潮洞天</t>
  </si>
  <si>
    <t>3异色18攻防生</t>
  </si>
  <si>
    <t>危险游戏</t>
  </si>
  <si>
    <t>84倾陷强度10s，cd20s</t>
  </si>
  <si>
    <t>心灵增伤</t>
  </si>
  <si>
    <r>
      <rPr>
        <sz val="11"/>
        <color theme="1"/>
        <rFont val="微软雅黑"/>
        <charset val="134"/>
      </rPr>
      <t>10光伤；</t>
    </r>
    <r>
      <rPr>
        <u/>
        <sz val="11"/>
        <color theme="1"/>
        <rFont val="微软雅黑"/>
        <charset val="134"/>
      </rPr>
      <t>Q后20秒减防25</t>
    </r>
  </si>
  <si>
    <t>10暗伤；无视12抗性，触发暗反应后翻倍，20秒</t>
  </si>
  <si>
    <t>恶魔之血：诅咒</t>
  </si>
  <si>
    <t>10魂伤；18增伤，处于魂反应翻倍</t>
  </si>
  <si>
    <t>10相伤；相反应28暴击，15秒</t>
  </si>
  <si>
    <t>10灵伤；8暴伤*7，10秒</t>
  </si>
  <si>
    <t>10咒伤；6攻击*6，10秒</t>
  </si>
  <si>
    <t>10生命；20%治疗效率</t>
  </si>
  <si>
    <t>15防御；20%护盾强效</t>
  </si>
  <si>
    <r>
      <rPr>
        <sz val="11"/>
        <color theme="1"/>
        <rFont val="微软雅黑"/>
        <charset val="134"/>
      </rPr>
      <t>12充能；</t>
    </r>
    <r>
      <rPr>
        <u/>
        <sz val="11"/>
        <color theme="1"/>
        <rFont val="微软雅黑"/>
        <charset val="134"/>
      </rPr>
      <t>Q后全队15%攻击，10秒</t>
    </r>
  </si>
  <si>
    <t>静谧山庄</t>
  </si>
  <si>
    <t>10心灵；普攻叠心灵伤12*3，6秒</t>
  </si>
  <si>
    <t>影之信条</t>
  </si>
  <si>
    <t>10攻击；E后25攻击，10秒</t>
  </si>
  <si>
    <t>小小大冒险</t>
  </si>
  <si>
    <t>10生命；40%生命上限</t>
  </si>
  <si>
    <t>h</t>
  </si>
  <si>
    <t>y</t>
  </si>
  <si>
    <t>t</t>
  </si>
  <si>
    <t>d</t>
  </si>
  <si>
    <t>s</t>
  </si>
  <si>
    <t>攻击系数</t>
  </si>
  <si>
    <t>怪物防御</t>
  </si>
  <si>
    <t>角色选择</t>
  </si>
  <si>
    <t>角色行号</t>
  </si>
  <si>
    <t>角色属性</t>
  </si>
  <si>
    <t>武器行号</t>
  </si>
  <si>
    <t>卡带行号</t>
  </si>
  <si>
    <t>大攻击</t>
  </si>
  <si>
    <t>大生命</t>
  </si>
  <si>
    <t>大防御</t>
  </si>
  <si>
    <t>小防御</t>
  </si>
  <si>
    <t>技能等级</t>
  </si>
  <si>
    <t>动作行号</t>
  </si>
  <si>
    <t>能量返还</t>
  </si>
  <si>
    <t>总回能</t>
  </si>
  <si>
    <t>基础区</t>
  </si>
  <si>
    <t>增伤区</t>
  </si>
  <si>
    <t>双暴区</t>
  </si>
  <si>
    <t>抗性值</t>
  </si>
  <si>
    <t>抗性区</t>
  </si>
  <si>
    <t>防御区</t>
  </si>
  <si>
    <t>时间</t>
  </si>
  <si>
    <t>伤害</t>
  </si>
  <si>
    <t>弱点易伤</t>
  </si>
  <si>
    <t>buff覆盖</t>
  </si>
  <si>
    <t>buff行号</t>
  </si>
  <si>
    <t>动作暴击</t>
  </si>
  <si>
    <t>动作暴伤</t>
  </si>
  <si>
    <t>动作增伤</t>
  </si>
  <si>
    <t>动作减防</t>
  </si>
  <si>
    <t>动作减抗</t>
  </si>
  <si>
    <t>激活属性</t>
  </si>
  <si>
    <t>倾陷条</t>
  </si>
  <si>
    <t>倾陷基础</t>
  </si>
  <si>
    <t>倾陷基底</t>
  </si>
  <si>
    <t>倾陷伤害</t>
  </si>
  <si>
    <t>倾陷总伤</t>
  </si>
  <si>
    <t>创生基础</t>
  </si>
  <si>
    <t>浊燃基础</t>
  </si>
  <si>
    <t>黯星基础</t>
  </si>
  <si>
    <t>创生增益</t>
  </si>
  <si>
    <t>浊燃增益</t>
  </si>
  <si>
    <t>黯星增益</t>
  </si>
  <si>
    <t>总计</t>
  </si>
  <si>
    <t>行号</t>
  </si>
  <si>
    <t>实际精通</t>
  </si>
  <si>
    <t>增幅提升</t>
  </si>
  <si>
    <t>实际触发</t>
  </si>
  <si>
    <t>剧变增幅</t>
  </si>
  <si>
    <t>反应防御</t>
  </si>
  <si>
    <t>抗性</t>
  </si>
  <si>
    <t>创生伤害</t>
  </si>
  <si>
    <t>浊燃伤害</t>
  </si>
  <si>
    <t>浊燃暴伤</t>
  </si>
  <si>
    <t>黯星伤害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</si>
</sst>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);[Red]\(0\)"/>
    <numFmt numFmtId="178" formatCode="0.0_);[Red]\(0.0\)"/>
    <numFmt numFmtId="179" formatCode="0_ "/>
    <numFmt numFmtId="180" formatCode="0.0_ "/>
    <numFmt numFmtId="181" formatCode="0.000_ "/>
    <numFmt numFmtId="182" formatCode="0.000_);[Red]\(0.000\)"/>
    <numFmt numFmtId="183" formatCode="0.00_);[Red]\(0.00\)"/>
  </numFmts>
  <fonts count="42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7030A0"/>
      <name val="微软雅黑"/>
      <charset val="134"/>
    </font>
    <font>
      <sz val="11"/>
      <color theme="5"/>
      <name val="微软雅黑"/>
      <charset val="134"/>
    </font>
    <font>
      <sz val="11"/>
      <color theme="4"/>
      <name val="微软雅黑"/>
      <charset val="134"/>
    </font>
    <font>
      <sz val="11"/>
      <color rgb="FFC00000"/>
      <name val="微软雅黑"/>
      <charset val="134"/>
    </font>
    <font>
      <u/>
      <sz val="11"/>
      <color theme="1"/>
      <name val="微软雅黑"/>
      <charset val="134"/>
    </font>
    <font>
      <sz val="11"/>
      <color theme="0" tint="-0.5"/>
      <name val="微软雅黑"/>
      <charset val="134"/>
    </font>
    <font>
      <sz val="11"/>
      <name val="微软雅黑"/>
      <charset val="134"/>
    </font>
    <font>
      <sz val="11"/>
      <color theme="9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theme="0" tint="-0.25"/>
      <name val="微软雅黑"/>
      <charset val="134"/>
    </font>
    <font>
      <sz val="14"/>
      <color theme="1"/>
      <name val="阿里巴巴普惠体 3.0 55 Regular"/>
      <charset val="134"/>
    </font>
    <font>
      <sz val="11"/>
      <color theme="1"/>
      <name val="阿里巴巴普惠体 3.0 55 Regular"/>
      <charset val="134"/>
    </font>
    <font>
      <sz val="14"/>
      <color rgb="FF000000"/>
      <name val="微软雅黑"/>
      <charset val="134"/>
    </font>
    <font>
      <sz val="14"/>
      <color rgb="FF000000"/>
      <name val="阿里巴巴普惠体 3.0 55 Regular"/>
      <charset val="134"/>
    </font>
    <font>
      <sz val="18"/>
      <color rgb="FF000000"/>
      <name val="阿里巴巴普惠体 3.0 55 Regular"/>
      <charset val="134"/>
    </font>
    <font>
      <sz val="14"/>
      <name val="阿里巴巴普惠体 3.0 55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FEDD"/>
        <bgColor indexed="64"/>
      </patternFill>
    </fill>
    <fill>
      <patternFill patternType="solid">
        <fgColor rgb="FFFAFAC1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BFD9E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DF7D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19" applyNumberFormat="0" applyAlignment="0" applyProtection="0">
      <alignment vertical="center"/>
    </xf>
    <xf numFmtId="0" fontId="29" fillId="15" borderId="20" applyNumberFormat="0" applyAlignment="0" applyProtection="0">
      <alignment vertical="center"/>
    </xf>
    <xf numFmtId="0" fontId="30" fillId="15" borderId="19" applyNumberFormat="0" applyAlignment="0" applyProtection="0">
      <alignment vertical="center"/>
    </xf>
    <xf numFmtId="0" fontId="31" fillId="16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9" fontId="2" fillId="6" borderId="0" xfId="0" applyNumberFormat="1" applyFont="1" applyFill="1" applyAlignment="1">
      <alignment horizontal="center" vertical="center"/>
    </xf>
    <xf numFmtId="0" fontId="2" fillId="6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180" fontId="14" fillId="3" borderId="0" xfId="0" applyNumberFormat="1" applyFont="1" applyFill="1" applyAlignment="1">
      <alignment horizontal="center" vertical="center"/>
    </xf>
    <xf numFmtId="176" fontId="14" fillId="3" borderId="0" xfId="0" applyNumberFormat="1" applyFont="1" applyFill="1" applyAlignment="1">
      <alignment horizontal="center" vertical="center"/>
    </xf>
    <xf numFmtId="179" fontId="14" fillId="3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9" fontId="14" fillId="3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78" fontId="16" fillId="3" borderId="0" xfId="0" applyNumberFormat="1" applyFont="1" applyFill="1" applyBorder="1" applyAlignment="1">
      <alignment horizontal="center" vertical="center"/>
    </xf>
    <xf numFmtId="178" fontId="17" fillId="3" borderId="0" xfId="0" applyNumberFormat="1" applyFont="1" applyFill="1" applyBorder="1" applyAlignment="1">
      <alignment horizontal="center" vertical="center"/>
    </xf>
    <xf numFmtId="178" fontId="17" fillId="3" borderId="0" xfId="0" applyNumberFormat="1" applyFont="1" applyFill="1" applyAlignment="1">
      <alignment horizontal="center" vertical="center"/>
    </xf>
    <xf numFmtId="178" fontId="18" fillId="3" borderId="0" xfId="0" applyNumberFormat="1" applyFont="1" applyFill="1" applyAlignment="1">
      <alignment horizontal="center" vertical="center"/>
    </xf>
    <xf numFmtId="178" fontId="17" fillId="3" borderId="1" xfId="0" applyNumberFormat="1" applyFont="1" applyFill="1" applyBorder="1" applyAlignment="1">
      <alignment horizontal="center" vertical="center"/>
    </xf>
    <xf numFmtId="178" fontId="17" fillId="3" borderId="2" xfId="0" applyNumberFormat="1" applyFont="1" applyFill="1" applyBorder="1" applyAlignment="1">
      <alignment horizontal="center" vertical="center"/>
    </xf>
    <xf numFmtId="178" fontId="17" fillId="3" borderId="3" xfId="0" applyNumberFormat="1" applyFont="1" applyFill="1" applyBorder="1" applyAlignment="1">
      <alignment horizontal="center" vertical="center"/>
    </xf>
    <xf numFmtId="178" fontId="19" fillId="9" borderId="1" xfId="0" applyNumberFormat="1" applyFont="1" applyFill="1" applyBorder="1" applyAlignment="1">
      <alignment horizontal="center" vertical="center"/>
    </xf>
    <xf numFmtId="178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NumberFormat="1" applyFont="1" applyFill="1" applyBorder="1" applyAlignment="1">
      <alignment horizontal="center" vertical="center"/>
    </xf>
    <xf numFmtId="178" fontId="17" fillId="7" borderId="1" xfId="0" applyNumberFormat="1" applyFont="1" applyFill="1" applyBorder="1" applyAlignment="1">
      <alignment horizontal="center" vertical="center" wrapText="1"/>
    </xf>
    <xf numFmtId="177" fontId="17" fillId="10" borderId="1" xfId="0" applyNumberFormat="1" applyFont="1" applyFill="1" applyBorder="1" applyAlignment="1">
      <alignment horizontal="center" vertical="center"/>
    </xf>
    <xf numFmtId="178" fontId="17" fillId="6" borderId="1" xfId="0" applyNumberFormat="1" applyFont="1" applyFill="1" applyBorder="1" applyAlignment="1">
      <alignment horizontal="center" vertical="center"/>
    </xf>
    <xf numFmtId="178" fontId="17" fillId="11" borderId="1" xfId="0" applyNumberFormat="1" applyFont="1" applyFill="1" applyBorder="1" applyAlignment="1">
      <alignment horizontal="center" vertical="center"/>
    </xf>
    <xf numFmtId="178" fontId="17" fillId="3" borderId="4" xfId="0" applyNumberFormat="1" applyFont="1" applyFill="1" applyBorder="1" applyAlignment="1">
      <alignment horizontal="center" vertical="center"/>
    </xf>
    <xf numFmtId="178" fontId="19" fillId="9" borderId="4" xfId="0" applyNumberFormat="1" applyFont="1" applyFill="1" applyBorder="1" applyAlignment="1">
      <alignment horizontal="center" vertical="center"/>
    </xf>
    <xf numFmtId="178" fontId="17" fillId="12" borderId="1" xfId="0" applyNumberFormat="1" applyFont="1" applyFill="1" applyBorder="1" applyAlignment="1">
      <alignment horizontal="center" vertical="center"/>
    </xf>
    <xf numFmtId="0" fontId="17" fillId="7" borderId="1" xfId="0" applyNumberFormat="1" applyFont="1" applyFill="1" applyBorder="1" applyAlignment="1">
      <alignment horizontal="center" vertical="center" wrapText="1"/>
    </xf>
    <xf numFmtId="178" fontId="17" fillId="3" borderId="5" xfId="0" applyNumberFormat="1" applyFont="1" applyFill="1" applyBorder="1" applyAlignment="1">
      <alignment horizontal="center" vertical="center"/>
    </xf>
    <xf numFmtId="178" fontId="17" fillId="3" borderId="6" xfId="0" applyNumberFormat="1" applyFont="1" applyFill="1" applyBorder="1" applyAlignment="1">
      <alignment horizontal="center" vertical="center"/>
    </xf>
    <xf numFmtId="178" fontId="17" fillId="3" borderId="7" xfId="0" applyNumberFormat="1" applyFont="1" applyFill="1" applyBorder="1" applyAlignment="1">
      <alignment horizontal="center" vertical="center"/>
    </xf>
    <xf numFmtId="178" fontId="17" fillId="3" borderId="7" xfId="0" applyNumberFormat="1" applyFont="1" applyFill="1" applyBorder="1" applyAlignment="1">
      <alignment vertical="center"/>
    </xf>
    <xf numFmtId="178" fontId="17" fillId="3" borderId="8" xfId="0" applyNumberFormat="1" applyFont="1" applyFill="1" applyBorder="1" applyAlignment="1">
      <alignment vertical="center"/>
    </xf>
    <xf numFmtId="178" fontId="17" fillId="3" borderId="9" xfId="0" applyNumberFormat="1" applyFont="1" applyFill="1" applyBorder="1" applyAlignment="1">
      <alignment horizontal="center" vertical="center"/>
    </xf>
    <xf numFmtId="178" fontId="17" fillId="3" borderId="0" xfId="0" applyNumberFormat="1" applyFont="1" applyFill="1" applyBorder="1" applyAlignment="1">
      <alignment vertical="center"/>
    </xf>
    <xf numFmtId="178" fontId="17" fillId="3" borderId="10" xfId="0" applyNumberFormat="1" applyFont="1" applyFill="1" applyBorder="1" applyAlignment="1">
      <alignment vertical="center"/>
    </xf>
    <xf numFmtId="9" fontId="17" fillId="3" borderId="1" xfId="0" applyNumberFormat="1" applyFont="1" applyFill="1" applyBorder="1" applyAlignment="1">
      <alignment horizontal="center" vertical="center"/>
    </xf>
    <xf numFmtId="9" fontId="17" fillId="3" borderId="5" xfId="0" applyNumberFormat="1" applyFont="1" applyFill="1" applyBorder="1" applyAlignment="1">
      <alignment horizontal="center" vertical="center"/>
    </xf>
    <xf numFmtId="178" fontId="17" fillId="3" borderId="9" xfId="0" applyNumberFormat="1" applyFont="1" applyFill="1" applyBorder="1" applyAlignment="1">
      <alignment vertical="center"/>
    </xf>
    <xf numFmtId="0" fontId="17" fillId="3" borderId="1" xfId="0" applyNumberFormat="1" applyFont="1" applyFill="1" applyBorder="1" applyAlignment="1">
      <alignment horizontal="center" vertical="center" wrapText="1"/>
    </xf>
    <xf numFmtId="181" fontId="17" fillId="3" borderId="1" xfId="0" applyNumberFormat="1" applyFont="1" applyFill="1" applyBorder="1" applyAlignment="1">
      <alignment horizontal="center" vertical="center"/>
    </xf>
    <xf numFmtId="178" fontId="17" fillId="3" borderId="11" xfId="0" applyNumberFormat="1" applyFont="1" applyFill="1" applyBorder="1" applyAlignment="1">
      <alignment vertical="center"/>
    </xf>
    <xf numFmtId="178" fontId="17" fillId="3" borderId="12" xfId="0" applyNumberFormat="1" applyFont="1" applyFill="1" applyBorder="1" applyAlignment="1">
      <alignment vertical="center"/>
    </xf>
    <xf numFmtId="178" fontId="17" fillId="3" borderId="13" xfId="0" applyNumberFormat="1" applyFont="1" applyFill="1" applyBorder="1" applyAlignment="1">
      <alignment vertical="center"/>
    </xf>
    <xf numFmtId="0" fontId="17" fillId="3" borderId="0" xfId="0" applyNumberFormat="1" applyFont="1" applyFill="1" applyBorder="1" applyAlignment="1">
      <alignment horizontal="center" vertical="center"/>
    </xf>
    <xf numFmtId="0" fontId="17" fillId="3" borderId="4" xfId="0" applyNumberFormat="1" applyFont="1" applyFill="1" applyBorder="1" applyAlignment="1">
      <alignment horizontal="center" vertical="center"/>
    </xf>
    <xf numFmtId="0" fontId="17" fillId="3" borderId="14" xfId="0" applyNumberFormat="1" applyFont="1" applyFill="1" applyBorder="1" applyAlignment="1">
      <alignment horizontal="center" vertical="center"/>
    </xf>
    <xf numFmtId="182" fontId="17" fillId="3" borderId="0" xfId="0" applyNumberFormat="1" applyFont="1" applyFill="1" applyBorder="1" applyAlignment="1">
      <alignment horizontal="center" vertical="center"/>
    </xf>
    <xf numFmtId="0" fontId="17" fillId="3" borderId="14" xfId="0" applyNumberFormat="1" applyFont="1" applyFill="1" applyBorder="1" applyAlignment="1">
      <alignment vertical="center"/>
    </xf>
    <xf numFmtId="183" fontId="17" fillId="3" borderId="0" xfId="0" applyNumberFormat="1" applyFont="1" applyFill="1" applyBorder="1" applyAlignment="1">
      <alignment horizontal="center" vertical="center"/>
    </xf>
    <xf numFmtId="0" fontId="17" fillId="3" borderId="15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color rgb="FFFDFEDD"/>
      </font>
    </dxf>
    <dxf>
      <fill>
        <patternFill patternType="solid">
          <bgColor rgb="FFE6D839"/>
        </patternFill>
      </fill>
    </dxf>
    <dxf>
      <fill>
        <patternFill patternType="solid">
          <bgColor rgb="FF47B3E3"/>
        </patternFill>
      </fill>
    </dxf>
    <dxf>
      <font>
        <color rgb="FFFBFD9E"/>
      </font>
      <fill>
        <patternFill patternType="solid">
          <bgColor rgb="FFA29DEB"/>
        </patternFill>
      </fill>
    </dxf>
    <dxf>
      <font>
        <color rgb="FFFBFD9E"/>
      </font>
      <fill>
        <patternFill patternType="solid">
          <bgColor rgb="FFEE4563"/>
        </patternFill>
      </fill>
    </dxf>
    <dxf>
      <fill>
        <patternFill patternType="solid">
          <bgColor rgb="FF6DECCF"/>
        </patternFill>
      </fill>
    </dxf>
    <dxf>
      <fill>
        <patternFill patternType="solid">
          <bgColor rgb="FFF0F7CA"/>
        </patternFill>
      </fill>
    </dxf>
    <dxf>
      <font>
        <color theme="7" tint="0.8"/>
      </font>
    </dxf>
    <dxf>
      <font>
        <color theme="9" tint="0.8"/>
      </font>
    </dxf>
    <dxf>
      <font>
        <color theme="4" tint="0.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D3E4E0"/>
      <color rgb="00C4E4CD"/>
      <color rgb="00F0F7CA"/>
      <color rgb="00EE4563"/>
      <color rgb="00A29DEB"/>
      <color rgb="0047B3E3"/>
      <color rgb="00E6D839"/>
      <color rgb="00FBFD9E"/>
      <color rgb="00FAFAC1"/>
      <color rgb="00FDFE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队伍</a:t>
            </a:r>
            <a:r>
              <a:t>贡献伤害</a:t>
            </a:r>
            <a:r>
              <a:rPr lang="en-US" altLang="zh-CN"/>
              <a:t>占比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云配队!$AG$3</c:f>
              <c:strCache>
                <c:ptCount val="1"/>
                <c:pt idx="0">
                  <c:v>贡献伤害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solidFill>
                <a:schemeClr val="bg1">
                  <a:lumMod val="95000"/>
                </a:schemeClr>
              </a:solidFill>
              <a:ln>
                <a:gradFill>
                  <a:gsLst>
                    <a:gs pos="0">
                      <a:schemeClr val="bg1">
                        <a:lumMod val="7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云配队!$AF$4:$AF$11</c:f>
              <c:strCache>
                <c:ptCount val="8"/>
                <c:pt idx="0" c:formatCode="0.0_);[Red]\(0.0\)">
                  <c:v>娜娜莉</c:v>
                </c:pt>
                <c:pt idx="1" c:formatCode="0.0_);[Red]\(0.0\)">
                  <c:v>主角</c:v>
                </c:pt>
                <c:pt idx="2" c:formatCode="0.0_);[Red]\(0.0\)">
                  <c:v>阿德勒</c:v>
                </c:pt>
                <c:pt idx="3" c:formatCode="0.0_);[Red]\(0.0\)">
                  <c:v>九原</c:v>
                </c:pt>
                <c:pt idx="4" c:formatCode="0.0_);[Red]\(0.0\)">
                  <c:v>创生</c:v>
                </c:pt>
                <c:pt idx="5" c:formatCode="0.0_);[Red]\(0.0\)">
                  <c:v>浊燃</c:v>
                </c:pt>
                <c:pt idx="6" c:formatCode="0.0_);[Red]\(0.0\)">
                  <c:v>黯星</c:v>
                </c:pt>
                <c:pt idx="7" c:formatCode="0.0_);[Red]\(0.0\)">
                  <c:v>倾陷</c:v>
                </c:pt>
              </c:strCache>
            </c:strRef>
          </c:cat>
          <c:val>
            <c:numRef>
              <c:f>云配队!$AG$4:$AG$11</c:f>
              <c:numCache>
                <c:formatCode>0.0_);[Red]\(0.0\)</c:formatCode>
                <c:ptCount val="8"/>
                <c:pt idx="0">
                  <c:v>235058.873804606</c:v>
                </c:pt>
                <c:pt idx="1">
                  <c:v>49667.022796192</c:v>
                </c:pt>
                <c:pt idx="2">
                  <c:v>35076.1986541328</c:v>
                </c:pt>
                <c:pt idx="3">
                  <c:v>122780.922388374</c:v>
                </c:pt>
                <c:pt idx="4">
                  <c:v>222831.546083888</c:v>
                </c:pt>
                <c:pt idx="5">
                  <c:v>0</c:v>
                </c:pt>
                <c:pt idx="6">
                  <c:v>0</c:v>
                </c:pt>
                <c:pt idx="7">
                  <c:v>53735.1656793422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cddfe2-3013-4460-91c0-f05f4205f8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首角色动作贡献占比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中间!$I$2</c:f>
              <c:strCache>
                <c:ptCount val="1"/>
                <c:pt idx="0">
                  <c:v>首角色动作贡献占比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中间!$H$3:$H$17</c:f>
              <c:strCache>
                <c:ptCount val="15"/>
                <c:pt idx="0">
                  <c:v>援护</c:v>
                </c:pt>
                <c:pt idx="1">
                  <c:v>C觉追击</c:v>
                </c:pt>
                <c:pt idx="2">
                  <c:v>天赋追击</c:v>
                </c:pt>
                <c:pt idx="3">
                  <c:v>5a</c:v>
                </c:pt>
                <c:pt idx="4">
                  <c:v>5a副手</c:v>
                </c:pt>
                <c:pt idx="5">
                  <c:v>3z</c:v>
                </c:pt>
                <c:pt idx="6">
                  <c:v>3z副手</c:v>
                </c:pt>
                <c:pt idx="7">
                  <c:v>闪反</c:v>
                </c:pt>
                <c:pt idx="8">
                  <c:v>闪反副手</c:v>
                </c:pt>
                <c:pt idx="9">
                  <c:v>下落</c:v>
                </c:pt>
                <c:pt idx="10">
                  <c:v>下落副手</c:v>
                </c:pt>
                <c:pt idx="11">
                  <c:v>e</c:v>
                </c:pt>
                <c:pt idx="12">
                  <c:v>e副手</c:v>
                </c:pt>
                <c:pt idx="13">
                  <c:v>q</c:v>
                </c:pt>
              </c:strCache>
            </c:strRef>
          </c:cat>
          <c:val>
            <c:numRef>
              <c:f>中间!$I$3:$I$17</c:f>
              <c:numCache>
                <c:formatCode>General</c:formatCode>
                <c:ptCount val="15"/>
                <c:pt idx="0">
                  <c:v>0</c:v>
                </c:pt>
                <c:pt idx="1">
                  <c:v>36331.3263695291</c:v>
                </c:pt>
                <c:pt idx="2">
                  <c:v>0</c:v>
                </c:pt>
                <c:pt idx="3">
                  <c:v>61453.6345154497</c:v>
                </c:pt>
                <c:pt idx="4">
                  <c:v>18156.1340431045</c:v>
                </c:pt>
                <c:pt idx="5">
                  <c:v>0</c:v>
                </c:pt>
                <c:pt idx="6">
                  <c:v>0</c:v>
                </c:pt>
                <c:pt idx="7">
                  <c:v>30669.1269851948</c:v>
                </c:pt>
                <c:pt idx="8">
                  <c:v>9430.18598481249</c:v>
                </c:pt>
                <c:pt idx="9">
                  <c:v>0</c:v>
                </c:pt>
                <c:pt idx="10">
                  <c:v>0</c:v>
                </c:pt>
                <c:pt idx="11">
                  <c:v>29433.812515321</c:v>
                </c:pt>
                <c:pt idx="12">
                  <c:v>0</c:v>
                </c:pt>
                <c:pt idx="13">
                  <c:v>49584.6533911947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6cddfe2-3013-4460-91c0-f05f4205f8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31</xdr:col>
      <xdr:colOff>75565</xdr:colOff>
      <xdr:row>7</xdr:row>
      <xdr:rowOff>46355</xdr:rowOff>
    </xdr:from>
    <xdr:to>
      <xdr:col>33</xdr:col>
      <xdr:colOff>925195</xdr:colOff>
      <xdr:row>12</xdr:row>
      <xdr:rowOff>458470</xdr:rowOff>
    </xdr:to>
    <xdr:graphicFrame>
      <xdr:nvGraphicFramePr>
        <xdr:cNvPr id="4" name="图表 3"/>
        <xdr:cNvGraphicFramePr/>
      </xdr:nvGraphicFramePr>
      <xdr:xfrm>
        <a:off x="28284170" y="3818255"/>
        <a:ext cx="2654300" cy="3206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38735</xdr:colOff>
      <xdr:row>7</xdr:row>
      <xdr:rowOff>29210</xdr:rowOff>
    </xdr:from>
    <xdr:to>
      <xdr:col>36</xdr:col>
      <xdr:colOff>888365</xdr:colOff>
      <xdr:row>12</xdr:row>
      <xdr:rowOff>506730</xdr:rowOff>
    </xdr:to>
    <xdr:graphicFrame>
      <xdr:nvGraphicFramePr>
        <xdr:cNvPr id="2" name="图表 1"/>
        <xdr:cNvGraphicFramePr/>
      </xdr:nvGraphicFramePr>
      <xdr:xfrm>
        <a:off x="30977205" y="3801110"/>
        <a:ext cx="2669540" cy="327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85725</xdr:colOff>
      <xdr:row>1</xdr:row>
      <xdr:rowOff>202565</xdr:rowOff>
    </xdr:from>
    <xdr:to>
      <xdr:col>27</xdr:col>
      <xdr:colOff>125095</xdr:colOff>
      <xdr:row>4</xdr:row>
      <xdr:rowOff>18415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77310" y="415925"/>
          <a:ext cx="3087370" cy="458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70485</xdr:colOff>
      <xdr:row>5</xdr:row>
      <xdr:rowOff>200025</xdr:rowOff>
    </xdr:from>
    <xdr:to>
      <xdr:col>26</xdr:col>
      <xdr:colOff>574040</xdr:colOff>
      <xdr:row>8</xdr:row>
      <xdr:rowOff>31750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62070" y="1269365"/>
          <a:ext cx="2941955" cy="471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48895</xdr:colOff>
      <xdr:row>4</xdr:row>
      <xdr:rowOff>203200</xdr:rowOff>
    </xdr:from>
    <xdr:to>
      <xdr:col>27</xdr:col>
      <xdr:colOff>41275</xdr:colOff>
      <xdr:row>7</xdr:row>
      <xdr:rowOff>92075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540480" y="1059180"/>
          <a:ext cx="3040380" cy="52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79375</xdr:colOff>
      <xdr:row>13</xdr:row>
      <xdr:rowOff>20320</xdr:rowOff>
    </xdr:from>
    <xdr:to>
      <xdr:col>27</xdr:col>
      <xdr:colOff>36830</xdr:colOff>
      <xdr:row>15</xdr:row>
      <xdr:rowOff>38735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570960" y="2799080"/>
          <a:ext cx="3005455" cy="445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71755</xdr:colOff>
      <xdr:row>9</xdr:row>
      <xdr:rowOff>175260</xdr:rowOff>
    </xdr:from>
    <xdr:to>
      <xdr:col>27</xdr:col>
      <xdr:colOff>35560</xdr:colOff>
      <xdr:row>12</xdr:row>
      <xdr:rowOff>26670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563340" y="2098040"/>
          <a:ext cx="3011805" cy="494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49530</xdr:colOff>
      <xdr:row>7</xdr:row>
      <xdr:rowOff>50165</xdr:rowOff>
    </xdr:from>
    <xdr:to>
      <xdr:col>26</xdr:col>
      <xdr:colOff>588010</xdr:colOff>
      <xdr:row>9</xdr:row>
      <xdr:rowOff>97790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541115" y="1546225"/>
          <a:ext cx="2976880" cy="474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64770</xdr:colOff>
      <xdr:row>2</xdr:row>
      <xdr:rowOff>202565</xdr:rowOff>
    </xdr:from>
    <xdr:to>
      <xdr:col>27</xdr:col>
      <xdr:colOff>16510</xdr:colOff>
      <xdr:row>5</xdr:row>
      <xdr:rowOff>41910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556355" y="629285"/>
          <a:ext cx="299974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86995</xdr:colOff>
      <xdr:row>11</xdr:row>
      <xdr:rowOff>206375</xdr:rowOff>
    </xdr:from>
    <xdr:to>
      <xdr:col>26</xdr:col>
      <xdr:colOff>607695</xdr:colOff>
      <xdr:row>14</xdr:row>
      <xdr:rowOff>46990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578580" y="2558415"/>
          <a:ext cx="2959100" cy="480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79375</xdr:colOff>
      <xdr:row>10</xdr:row>
      <xdr:rowOff>205105</xdr:rowOff>
    </xdr:from>
    <xdr:to>
      <xdr:col>26</xdr:col>
      <xdr:colOff>570865</xdr:colOff>
      <xdr:row>13</xdr:row>
      <xdr:rowOff>38735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570960" y="2341245"/>
          <a:ext cx="292989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94615</xdr:colOff>
      <xdr:row>3</xdr:row>
      <xdr:rowOff>205740</xdr:rowOff>
    </xdr:from>
    <xdr:to>
      <xdr:col>26</xdr:col>
      <xdr:colOff>603885</xdr:colOff>
      <xdr:row>6</xdr:row>
      <xdr:rowOff>2540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586200" y="848360"/>
          <a:ext cx="2947670" cy="43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41910</xdr:colOff>
      <xdr:row>8</xdr:row>
      <xdr:rowOff>42545</xdr:rowOff>
    </xdr:from>
    <xdr:to>
      <xdr:col>26</xdr:col>
      <xdr:colOff>603250</xdr:colOff>
      <xdr:row>10</xdr:row>
      <xdr:rowOff>72390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533495" y="1751965"/>
          <a:ext cx="2999740" cy="456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79375</xdr:colOff>
      <xdr:row>9</xdr:row>
      <xdr:rowOff>35560</xdr:rowOff>
    </xdr:from>
    <xdr:to>
      <xdr:col>26</xdr:col>
      <xdr:colOff>559435</xdr:colOff>
      <xdr:row>11</xdr:row>
      <xdr:rowOff>12065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570960" y="1958340"/>
          <a:ext cx="2918460" cy="405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"/>
  <sheetViews>
    <sheetView tabSelected="1" zoomScale="55" zoomScaleNormal="55" topLeftCell="E2" workbookViewId="0">
      <selection activeCell="E9" sqref="E9"/>
    </sheetView>
  </sheetViews>
  <sheetFormatPr defaultColWidth="9.91346153846154" defaultRowHeight="44" customHeight="1"/>
  <cols>
    <col min="1" max="2" width="13.7788461538462" style="56" customWidth="1"/>
    <col min="3" max="16384" width="13.7788461538462" style="57" customWidth="1"/>
  </cols>
  <sheetData>
    <row r="1" ht="33" customHeight="1" spans="1:37">
      <c r="A1" s="57"/>
      <c r="B1" s="57"/>
    </row>
    <row r="2" customHeight="1" spans="1:37">
      <c r="A2" s="57"/>
      <c r="B2" s="57"/>
      <c r="H2" s="58"/>
      <c r="I2" s="58"/>
      <c r="J2" s="59" t="s">
        <v>0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F2" s="57" t="s">
        <v>1</v>
      </c>
    </row>
    <row r="3" customHeight="1" spans="1:37">
      <c r="F3" s="60" t="s">
        <v>2</v>
      </c>
      <c r="G3" s="60" t="s">
        <v>3</v>
      </c>
      <c r="H3" s="60" t="s">
        <v>4</v>
      </c>
      <c r="I3" s="60" t="s">
        <v>5</v>
      </c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2"/>
      <c r="AF3" s="60" t="s">
        <v>6</v>
      </c>
      <c r="AG3" s="60" t="s">
        <v>7</v>
      </c>
      <c r="AH3" s="60" t="s">
        <v>8</v>
      </c>
      <c r="AI3" s="60" t="s">
        <v>9</v>
      </c>
      <c r="AJ3" s="60" t="s">
        <v>10</v>
      </c>
      <c r="AK3" s="60" t="s">
        <v>11</v>
      </c>
    </row>
    <row r="4" customHeight="1" spans="1:37">
      <c r="F4" s="63" t="s">
        <v>12</v>
      </c>
      <c r="G4" s="64" t="str">
        <f>VLOOKUP($F4,配装!$A$3:$AF$18,配装!$V$1,FALSE)</f>
        <v>预备备</v>
      </c>
      <c r="H4" s="64" t="str">
        <f>VLOOKUP($F4,配装!$A$3:$AF$18,配装!$X$1,FALSE)</f>
        <v>森林萤火之心</v>
      </c>
      <c r="I4" s="65">
        <f>VLOOKUP($F4,配装!$A$3:$AX$18,配装!$AX$1,FALSE)</f>
        <v>0</v>
      </c>
      <c r="J4" s="66"/>
      <c r="K4" s="66"/>
      <c r="L4" s="66" t="s">
        <v>13</v>
      </c>
      <c r="M4" s="66" t="s">
        <v>14</v>
      </c>
      <c r="N4" s="66" t="s">
        <v>15</v>
      </c>
      <c r="O4" s="66" t="s">
        <v>16</v>
      </c>
      <c r="P4" s="66" t="s">
        <v>17</v>
      </c>
      <c r="Q4" s="66" t="s">
        <v>18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 t="s">
        <v>19</v>
      </c>
      <c r="AC4" s="66"/>
      <c r="AD4" s="60" t="s">
        <v>20</v>
      </c>
      <c r="AE4" s="60"/>
      <c r="AF4" s="63" t="str">
        <f>F4</f>
        <v>娜娜莉</v>
      </c>
      <c r="AG4" s="60">
        <f ca="1">中间!D2</f>
        <v>235058.873804606</v>
      </c>
      <c r="AH4" s="60">
        <f ca="1">中间!E2</f>
        <v>16.523</v>
      </c>
      <c r="AI4" s="60">
        <f ca="1">中间!F2</f>
        <v>76.3986</v>
      </c>
      <c r="AJ4" s="60">
        <f ca="1">中间!G2</f>
        <v>86.5</v>
      </c>
      <c r="AK4" s="67">
        <f>计算!Z10</f>
        <v>135077.569060774</v>
      </c>
    </row>
    <row r="5" customHeight="1" spans="1:37">
      <c r="F5" s="63" t="s">
        <v>21</v>
      </c>
      <c r="G5" s="64" t="str">
        <f>VLOOKUP($F5,配装!$A$3:$AF$18,配装!$V$1,FALSE)</f>
        <v>休息日</v>
      </c>
      <c r="H5" s="64" t="str">
        <f>VLOOKUP($F5,配装!$A$3:$AF$18,配装!$X$1,FALSE)</f>
        <v>失落光芒</v>
      </c>
      <c r="I5" s="65">
        <f>VLOOKUP($F5,配装!$A$3:$AX$18,配装!$AX$1,FALSE)</f>
        <v>3</v>
      </c>
      <c r="J5" s="66" t="s">
        <v>13</v>
      </c>
      <c r="K5" s="66" t="s">
        <v>14</v>
      </c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 t="s">
        <v>22</v>
      </c>
      <c r="Z5" s="66"/>
      <c r="AA5" s="66"/>
      <c r="AB5" s="66"/>
      <c r="AC5" s="66"/>
      <c r="AD5" s="60">
        <f ca="1">中间!D10+AG11</f>
        <v>719149.729406536</v>
      </c>
      <c r="AE5" s="60"/>
      <c r="AF5" s="63" t="str">
        <f>F5</f>
        <v>主角</v>
      </c>
      <c r="AG5" s="60">
        <f ca="1">中间!D3</f>
        <v>49667.022796192</v>
      </c>
      <c r="AH5" s="60">
        <f ca="1">中间!E3</f>
        <v>5.301167</v>
      </c>
      <c r="AI5" s="60">
        <f ca="1">中间!F3</f>
        <v>90.672534</v>
      </c>
      <c r="AJ5" s="60">
        <f ca="1">中间!G3</f>
        <v>100</v>
      </c>
      <c r="AK5" s="68">
        <f>中间!D6</f>
        <v>222831.546083888</v>
      </c>
    </row>
    <row r="6" customHeight="1" spans="1:37">
      <c r="F6" s="63" t="s">
        <v>23</v>
      </c>
      <c r="G6" s="64" t="str">
        <f>VLOOKUP($F6,配装!$A$3:$AF$18,配装!$V$1,FALSE)</f>
        <v>勿忘伞</v>
      </c>
      <c r="H6" s="64" t="str">
        <f>VLOOKUP($F6,配装!$A$3:$AF$18,配装!$X$1,FALSE)</f>
        <v>守卫王国</v>
      </c>
      <c r="I6" s="65">
        <f>VLOOKUP($F6,配装!$A$3:$AX$18,配装!$AX$1,FALSE)</f>
        <v>6</v>
      </c>
      <c r="J6" s="66"/>
      <c r="K6" s="66"/>
      <c r="L6" s="66"/>
      <c r="M6" s="66"/>
      <c r="N6" s="66"/>
      <c r="O6" s="66"/>
      <c r="P6" s="66"/>
      <c r="Q6" s="66"/>
      <c r="R6" s="66" t="s">
        <v>14</v>
      </c>
      <c r="S6" s="66" t="s">
        <v>24</v>
      </c>
      <c r="T6" s="66" t="s">
        <v>13</v>
      </c>
      <c r="U6" s="66"/>
      <c r="V6" s="66"/>
      <c r="W6" s="66"/>
      <c r="X6" s="66"/>
      <c r="Y6" s="66"/>
      <c r="Z6" s="66"/>
      <c r="AA6" s="66"/>
      <c r="AB6" s="66"/>
      <c r="AC6" s="66"/>
      <c r="AD6" s="60" t="s">
        <v>25</v>
      </c>
      <c r="AE6" s="60"/>
      <c r="AF6" s="63" t="str">
        <f>F6</f>
        <v>阿德勒</v>
      </c>
      <c r="AG6" s="60">
        <f ca="1">中间!D4</f>
        <v>35076.1986541328</v>
      </c>
      <c r="AH6" s="60">
        <f ca="1">中间!E4</f>
        <v>8.65</v>
      </c>
      <c r="AI6" s="60">
        <f ca="1">中间!F4</f>
        <v>70.3594</v>
      </c>
      <c r="AJ6" s="60">
        <f ca="1">中间!G4</f>
        <v>20.1</v>
      </c>
      <c r="AK6" s="69">
        <f>中间!D7</f>
        <v>0</v>
      </c>
    </row>
    <row r="7" customHeight="1" spans="1:37">
      <c r="F7" s="63" t="s">
        <v>26</v>
      </c>
      <c r="G7" s="64" t="str">
        <f>VLOOKUP($F7,配装!$A$3:$AF$18,配装!$V$1,FALSE)</f>
        <v>现实避难所</v>
      </c>
      <c r="H7" s="64" t="str">
        <f>VLOOKUP($F7,配装!$A$3:$AF$18,配装!$X$1,FALSE)</f>
        <v>森林萤火之心</v>
      </c>
      <c r="I7" s="65">
        <f>VLOOKUP($F7,配装!$A$3:$AX$18,配装!$AX$1,FALSE)</f>
        <v>1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 t="s">
        <v>27</v>
      </c>
      <c r="V7" s="66" t="s">
        <v>28</v>
      </c>
      <c r="W7" s="66" t="s">
        <v>13</v>
      </c>
      <c r="X7" s="66" t="s">
        <v>29</v>
      </c>
      <c r="Y7" s="66" t="s">
        <v>22</v>
      </c>
      <c r="Z7" s="66" t="s">
        <v>14</v>
      </c>
      <c r="AA7" s="66" t="s">
        <v>30</v>
      </c>
      <c r="AB7" s="66"/>
      <c r="AC7" s="66"/>
      <c r="AD7" s="70">
        <f ca="1">IFERROR((AD5)/AD9,0)</f>
        <v>44946.8580879085</v>
      </c>
      <c r="AE7" s="70"/>
      <c r="AF7" s="71" t="str">
        <f>F7</f>
        <v>九原</v>
      </c>
      <c r="AG7" s="60">
        <f ca="1">中间!D5</f>
        <v>122780.922388374</v>
      </c>
      <c r="AH7" s="60">
        <f ca="1">中间!E5</f>
        <v>5.4</v>
      </c>
      <c r="AI7" s="60">
        <f ca="1">中间!F5</f>
        <v>140.3594</v>
      </c>
      <c r="AJ7" s="60">
        <f ca="1">中间!G5</f>
        <v>11.802</v>
      </c>
      <c r="AK7" s="72">
        <f>中间!D8</f>
        <v>0</v>
      </c>
    </row>
    <row r="8" customHeight="1" spans="1:37">
      <c r="F8" s="65" t="s">
        <v>31</v>
      </c>
      <c r="G8" s="65" t="s">
        <v>32</v>
      </c>
      <c r="H8" s="65" t="s">
        <v>33</v>
      </c>
      <c r="I8" s="64" t="s">
        <v>34</v>
      </c>
      <c r="J8" s="73">
        <v>1</v>
      </c>
      <c r="K8" s="73">
        <v>0.667</v>
      </c>
      <c r="L8" s="73">
        <v>1</v>
      </c>
      <c r="M8" s="73">
        <v>0.75</v>
      </c>
      <c r="N8" s="73">
        <v>2</v>
      </c>
      <c r="O8" s="73">
        <v>0.75</v>
      </c>
      <c r="P8" s="73">
        <v>3</v>
      </c>
      <c r="Q8" s="73">
        <v>1.5</v>
      </c>
      <c r="R8" s="73">
        <v>0.5</v>
      </c>
      <c r="S8" s="73">
        <v>0.5</v>
      </c>
      <c r="T8" s="73">
        <v>1</v>
      </c>
      <c r="U8" s="73">
        <v>1</v>
      </c>
      <c r="V8" s="73">
        <v>1</v>
      </c>
      <c r="W8" s="73">
        <v>1</v>
      </c>
      <c r="X8" s="73">
        <v>12</v>
      </c>
      <c r="Y8" s="73">
        <v>1</v>
      </c>
      <c r="Z8" s="73">
        <v>1</v>
      </c>
      <c r="AA8" s="73">
        <v>1</v>
      </c>
      <c r="AB8" s="73">
        <v>12</v>
      </c>
      <c r="AC8" s="73">
        <v>1.5</v>
      </c>
      <c r="AD8" s="60" t="s">
        <v>35</v>
      </c>
      <c r="AE8" s="74"/>
      <c r="AF8" s="75" t="s">
        <v>36</v>
      </c>
      <c r="AG8" s="76">
        <f>中间!D6</f>
        <v>222831.546083888</v>
      </c>
      <c r="AH8" s="77"/>
      <c r="AI8" s="77"/>
      <c r="AJ8" s="77"/>
      <c r="AK8" s="78"/>
    </row>
    <row r="9" customHeight="1" spans="1:37">
      <c r="F9" s="65">
        <v>80</v>
      </c>
      <c r="G9" s="65">
        <v>82</v>
      </c>
      <c r="H9" s="65">
        <v>70</v>
      </c>
      <c r="I9" s="60" t="s">
        <v>37</v>
      </c>
      <c r="J9" s="60" cm="1">
        <f ca="1" t="array" ref="J9:AC9">_xlfn._xlws.FILTER(计算!8:8,计算!1:1="d")</f>
        <v>13589.4595686099</v>
      </c>
      <c r="K9" s="60">
        <v>27780.8603014538</v>
      </c>
      <c r="L9" s="60">
        <v>29433.812515321</v>
      </c>
      <c r="M9" s="60">
        <v>49584.6533911947</v>
      </c>
      <c r="N9" s="60">
        <v>61453.6345154497</v>
      </c>
      <c r="O9" s="60">
        <v>18156.1340431045</v>
      </c>
      <c r="P9" s="60">
        <v>30669.1269851948</v>
      </c>
      <c r="Q9" s="60">
        <v>9430.18598481249</v>
      </c>
      <c r="R9" s="60">
        <v>12814.9102476582</v>
      </c>
      <c r="S9" s="60">
        <v>9026.21716708995</v>
      </c>
      <c r="T9" s="60">
        <v>13235.0712393847</v>
      </c>
      <c r="U9" s="60">
        <v>25441.2403325373</v>
      </c>
      <c r="V9" s="60">
        <v>10465.3290379667</v>
      </c>
      <c r="W9" s="60">
        <v>15713.7072642142</v>
      </c>
      <c r="X9" s="60">
        <v>22897.1162992836</v>
      </c>
      <c r="Y9" s="60">
        <v>10475.8048428095</v>
      </c>
      <c r="Z9" s="60">
        <v>31427.4145284284</v>
      </c>
      <c r="AA9" s="60">
        <v>6360.31008313433</v>
      </c>
      <c r="AB9" s="60">
        <v>36331.3263695291</v>
      </c>
      <c r="AC9" s="60">
        <v>0</v>
      </c>
      <c r="AD9" s="60">
        <f ca="1">IF(AD13&gt;0,AD13,中间!D11)</f>
        <v>16</v>
      </c>
      <c r="AE9" s="74"/>
      <c r="AF9" s="79" t="s">
        <v>38</v>
      </c>
      <c r="AG9" s="57">
        <f>中间!D7</f>
        <v>0</v>
      </c>
      <c r="AH9" s="80"/>
      <c r="AI9" s="80"/>
      <c r="AJ9" s="80"/>
      <c r="AK9" s="81"/>
    </row>
    <row r="10" customHeight="1" spans="1:37">
      <c r="F10" s="65" t="s">
        <v>39</v>
      </c>
      <c r="G10" s="65" t="s">
        <v>40</v>
      </c>
      <c r="H10" s="60" t="s">
        <v>41</v>
      </c>
      <c r="I10" s="60" t="s">
        <v>42</v>
      </c>
      <c r="J10" s="60" cm="1">
        <f ca="1" t="array" ref="J10:AC10">_xlfn._xlws.FILTER(计算!8:8,计算!1:1="t")</f>
        <v>0.2</v>
      </c>
      <c r="K10" s="60">
        <v>0</v>
      </c>
      <c r="L10" s="60">
        <v>0</v>
      </c>
      <c r="M10" s="60">
        <v>0</v>
      </c>
      <c r="N10" s="60">
        <v>7.7</v>
      </c>
      <c r="O10" s="60">
        <v>0</v>
      </c>
      <c r="P10" s="60">
        <v>6.3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0.3</v>
      </c>
      <c r="W10" s="60">
        <v>0</v>
      </c>
      <c r="X10" s="60">
        <v>0</v>
      </c>
      <c r="Y10" s="60">
        <v>1.3</v>
      </c>
      <c r="Z10" s="60">
        <v>0</v>
      </c>
      <c r="AA10" s="60">
        <v>0</v>
      </c>
      <c r="AB10" s="60">
        <v>0</v>
      </c>
      <c r="AC10" s="60">
        <v>0</v>
      </c>
      <c r="AD10" s="60" t="s">
        <v>43</v>
      </c>
      <c r="AE10" s="74"/>
      <c r="AF10" s="79" t="s">
        <v>44</v>
      </c>
      <c r="AG10" s="57">
        <f>中间!D8</f>
        <v>0</v>
      </c>
      <c r="AH10" s="80"/>
      <c r="AI10" s="80"/>
      <c r="AJ10" s="80"/>
      <c r="AK10" s="81"/>
    </row>
    <row r="11" customHeight="1" spans="1:37">
      <c r="F11" s="82">
        <v>0.2</v>
      </c>
      <c r="G11" s="65"/>
      <c r="H11" s="83">
        <v>0.2</v>
      </c>
      <c r="I11" s="70" t="s">
        <v>45</v>
      </c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 t="s">
        <v>36</v>
      </c>
      <c r="AD11" s="60">
        <f ca="1">中间!E10</f>
        <v>35.874167</v>
      </c>
      <c r="AE11" s="74"/>
      <c r="AF11" s="84" t="s">
        <v>46</v>
      </c>
      <c r="AG11" s="80">
        <f ca="1">AK4*AE13</f>
        <v>53735.1656793422</v>
      </c>
      <c r="AH11" s="80"/>
      <c r="AI11" s="80"/>
      <c r="AJ11" s="80"/>
      <c r="AK11" s="81"/>
    </row>
    <row r="12" customHeight="1" spans="1:37">
      <c r="G12" s="65" t="s">
        <v>47</v>
      </c>
      <c r="H12" s="85" t="s">
        <v>48</v>
      </c>
      <c r="I12" s="70" t="s">
        <v>49</v>
      </c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65" t="s">
        <v>50</v>
      </c>
      <c r="AE12" s="65" t="s">
        <v>51</v>
      </c>
      <c r="AF12" s="84"/>
      <c r="AG12" s="80"/>
      <c r="AH12" s="80"/>
      <c r="AI12" s="80"/>
      <c r="AJ12" s="80"/>
      <c r="AK12" s="81"/>
    </row>
    <row r="13" customHeight="1" spans="1:37">
      <c r="G13" s="65" t="s">
        <v>52</v>
      </c>
      <c r="H13" s="65"/>
      <c r="I13" s="70" t="s">
        <v>53</v>
      </c>
      <c r="J13" s="70" t="s">
        <v>54</v>
      </c>
      <c r="K13" s="70" t="s">
        <v>54</v>
      </c>
      <c r="L13" s="70" t="s">
        <v>54</v>
      </c>
      <c r="M13" s="70" t="s">
        <v>54</v>
      </c>
      <c r="N13" s="70" t="s">
        <v>54</v>
      </c>
      <c r="O13" s="70" t="s">
        <v>54</v>
      </c>
      <c r="P13" s="70" t="s">
        <v>54</v>
      </c>
      <c r="Q13" s="70" t="s">
        <v>54</v>
      </c>
      <c r="R13" s="70" t="s">
        <v>54</v>
      </c>
      <c r="S13" s="70" t="s">
        <v>54</v>
      </c>
      <c r="T13" s="70" t="s">
        <v>54</v>
      </c>
      <c r="U13" s="70" t="s">
        <v>54</v>
      </c>
      <c r="V13" s="70" t="s">
        <v>54</v>
      </c>
      <c r="W13" s="70" t="s">
        <v>54</v>
      </c>
      <c r="X13" s="70" t="s">
        <v>54</v>
      </c>
      <c r="Y13" s="70" t="s">
        <v>54</v>
      </c>
      <c r="Z13" s="70" t="s">
        <v>54</v>
      </c>
      <c r="AA13" s="70" t="s">
        <v>54</v>
      </c>
      <c r="AB13" s="70" t="s">
        <v>54</v>
      </c>
      <c r="AC13" s="70" t="s">
        <v>54</v>
      </c>
      <c r="AD13" s="65">
        <v>16</v>
      </c>
      <c r="AE13" s="86">
        <f ca="1">IFERROR(1/(H9/AD11+9/AD13),0)</f>
        <v>0.39780968855877</v>
      </c>
      <c r="AF13" s="87"/>
      <c r="AG13" s="88"/>
      <c r="AH13" s="88"/>
      <c r="AI13" s="88"/>
      <c r="AJ13" s="88"/>
      <c r="AK13" s="89"/>
    </row>
    <row r="14" customHeight="1" spans="1:37">
      <c r="F14" s="90"/>
      <c r="G14" s="91" t="s">
        <v>55</v>
      </c>
      <c r="H14" s="82"/>
      <c r="I14" s="60" t="s">
        <v>56</v>
      </c>
      <c r="J14" s="66"/>
      <c r="K14" s="66"/>
      <c r="L14" s="66" t="s">
        <v>57</v>
      </c>
      <c r="M14" s="66" t="s">
        <v>57</v>
      </c>
      <c r="N14" s="66" t="s">
        <v>57</v>
      </c>
      <c r="O14" s="66" t="s">
        <v>57</v>
      </c>
      <c r="P14" s="66" t="s">
        <v>57</v>
      </c>
      <c r="Q14" s="66" t="s">
        <v>57</v>
      </c>
      <c r="R14" s="66"/>
      <c r="S14" s="66" t="s">
        <v>58</v>
      </c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57">
        <v>170595.750937069</v>
      </c>
      <c r="AE14" s="57">
        <v>654249.571105409</v>
      </c>
    </row>
    <row r="15" customHeight="1" spans="1:37">
      <c r="F15" s="90"/>
      <c r="G15" s="92" t="s">
        <v>59</v>
      </c>
      <c r="H15" s="82">
        <v>0.5</v>
      </c>
      <c r="I15" s="60" t="s">
        <v>60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 t="s">
        <v>58</v>
      </c>
      <c r="U15" s="66"/>
      <c r="V15" s="66"/>
      <c r="W15" s="66"/>
      <c r="X15" s="66"/>
      <c r="Y15" s="66"/>
      <c r="Z15" s="66"/>
      <c r="AA15" s="66"/>
      <c r="AB15" s="66"/>
      <c r="AC15" s="66"/>
      <c r="AD15" s="93">
        <f ca="1">AG4/AD14</f>
        <v>1.37787062405392</v>
      </c>
      <c r="AE15" s="93">
        <f ca="1">AD5/AE14</f>
        <v>1.09919786143913</v>
      </c>
    </row>
    <row r="16" customHeight="1" spans="1:37">
      <c r="G16" s="94"/>
      <c r="H16" s="82">
        <v>0.5</v>
      </c>
      <c r="I16" s="60" t="s">
        <v>61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E16" s="95"/>
    </row>
    <row r="17" customHeight="1" spans="7:31">
      <c r="G17" s="94"/>
      <c r="H17" s="82"/>
      <c r="I17" s="60" t="s">
        <v>62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E17" s="95"/>
    </row>
    <row r="18" customHeight="1" spans="7:31">
      <c r="G18" s="94"/>
      <c r="H18" s="82"/>
      <c r="I18" s="60" t="s">
        <v>63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 customHeight="1" spans="7:31">
      <c r="G19" s="94"/>
      <c r="H19" s="82"/>
      <c r="I19" s="60" t="s">
        <v>64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customHeight="1" spans="7:31">
      <c r="G20" s="94"/>
      <c r="H20" s="82"/>
      <c r="I20" s="60" t="s">
        <v>65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customHeight="1" spans="7:31">
      <c r="G21" s="94"/>
      <c r="H21" s="82"/>
      <c r="I21" s="60" t="s">
        <v>66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customHeight="1" spans="7:31">
      <c r="G22" s="94"/>
      <c r="H22" s="82">
        <v>0.67</v>
      </c>
      <c r="I22" s="60" t="s">
        <v>67</v>
      </c>
      <c r="J22" s="66" t="s">
        <v>68</v>
      </c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 t="s">
        <v>68</v>
      </c>
    </row>
    <row r="23" customHeight="1" spans="7:31">
      <c r="G23" s="94"/>
      <c r="H23" s="82">
        <v>0.5</v>
      </c>
      <c r="I23" s="60" t="s">
        <v>69</v>
      </c>
      <c r="J23" s="66" t="s">
        <v>70</v>
      </c>
      <c r="K23" s="66" t="s">
        <v>70</v>
      </c>
      <c r="L23" s="66" t="s">
        <v>70</v>
      </c>
      <c r="M23" s="66" t="s">
        <v>70</v>
      </c>
      <c r="N23" s="66" t="s">
        <v>70</v>
      </c>
      <c r="O23" s="66" t="s">
        <v>70</v>
      </c>
      <c r="P23" s="66" t="s">
        <v>70</v>
      </c>
      <c r="Q23" s="66" t="s">
        <v>70</v>
      </c>
      <c r="R23" s="66" t="s">
        <v>70</v>
      </c>
      <c r="S23" s="66" t="s">
        <v>70</v>
      </c>
      <c r="T23" s="66" t="s">
        <v>70</v>
      </c>
      <c r="U23" s="66" t="s">
        <v>70</v>
      </c>
      <c r="V23" s="66" t="s">
        <v>70</v>
      </c>
      <c r="W23" s="66" t="s">
        <v>70</v>
      </c>
      <c r="X23" s="66" t="s">
        <v>70</v>
      </c>
      <c r="Y23" s="66" t="s">
        <v>70</v>
      </c>
      <c r="Z23" s="66" t="s">
        <v>70</v>
      </c>
      <c r="AA23" s="66" t="s">
        <v>70</v>
      </c>
      <c r="AB23" s="66" t="s">
        <v>70</v>
      </c>
      <c r="AC23" s="66" t="s">
        <v>70</v>
      </c>
    </row>
    <row r="24" customHeight="1" spans="7:31">
      <c r="G24" s="94"/>
      <c r="H24" s="82">
        <v>1</v>
      </c>
      <c r="I24" s="60" t="s">
        <v>71</v>
      </c>
      <c r="J24" s="66"/>
      <c r="K24" s="66" t="s">
        <v>68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customHeight="1" spans="7:31">
      <c r="G25" s="94"/>
      <c r="H25" s="82">
        <v>1</v>
      </c>
      <c r="I25" s="60" t="s">
        <v>72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customHeight="1" spans="7:31">
      <c r="G26" s="94"/>
      <c r="H26" s="82"/>
      <c r="I26" s="60" t="s">
        <v>73</v>
      </c>
      <c r="J26" s="66"/>
      <c r="K26" s="66"/>
      <c r="L26" s="66"/>
      <c r="M26" s="66" t="s">
        <v>74</v>
      </c>
      <c r="N26" s="66"/>
      <c r="O26" s="66" t="s">
        <v>75</v>
      </c>
      <c r="P26" s="66"/>
      <c r="Q26" s="66" t="s">
        <v>75</v>
      </c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customHeight="1" spans="7:31">
      <c r="G27" s="94"/>
      <c r="H27" s="82">
        <v>0.75</v>
      </c>
      <c r="I27" s="60" t="s">
        <v>76</v>
      </c>
      <c r="J27" s="66"/>
      <c r="K27" s="66"/>
      <c r="L27" s="66"/>
      <c r="M27" s="66"/>
      <c r="N27" s="66" t="s">
        <v>75</v>
      </c>
      <c r="O27" s="66"/>
      <c r="P27" s="66" t="s">
        <v>74</v>
      </c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 t="s">
        <v>74</v>
      </c>
      <c r="AC27" s="66"/>
    </row>
    <row r="28" customHeight="1" spans="7:31">
      <c r="G28" s="94"/>
      <c r="H28" s="82"/>
      <c r="I28" s="60" t="s">
        <v>77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customHeight="1" spans="7:31">
      <c r="G29" s="96"/>
      <c r="H29" s="82"/>
      <c r="I29" s="60" t="s">
        <v>78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</sheetData>
  <mergeCells count="10">
    <mergeCell ref="J2:AC2"/>
    <mergeCell ref="J3:AE3"/>
    <mergeCell ref="AD4:AE4"/>
    <mergeCell ref="AD5:AE5"/>
    <mergeCell ref="AD6:AE6"/>
    <mergeCell ref="AD7:AE7"/>
    <mergeCell ref="AD8:AE8"/>
    <mergeCell ref="AD9:AE9"/>
    <mergeCell ref="AD10:AE10"/>
    <mergeCell ref="AD11:AE11"/>
  </mergeCells>
  <conditionalFormatting sqref="G3">
    <cfRule type="cellIs" dxfId="0" priority="37" operator="equal">
      <formula>0</formula>
    </cfRule>
  </conditionalFormatting>
  <conditionalFormatting sqref="H3">
    <cfRule type="cellIs" dxfId="0" priority="36" operator="equal">
      <formula>0</formula>
    </cfRule>
  </conditionalFormatting>
  <conditionalFormatting sqref="F4">
    <cfRule type="expression" dxfId="1" priority="77">
      <formula>VLOOKUP(F4,配装!$A$3:$B$59,2,FALSE)="相"</formula>
    </cfRule>
    <cfRule type="expression" dxfId="2" priority="78">
      <formula>VLOOKUP(F4,配装!$A$3:$B$59,2,FALSE)="魂"</formula>
    </cfRule>
    <cfRule type="expression" dxfId="3" priority="79">
      <formula>VLOOKUP(F4,配装!$A$3:$B$59,2,FALSE)="暗"</formula>
    </cfRule>
    <cfRule type="expression" dxfId="4" priority="80">
      <formula>VLOOKUP(F4,配装!$A$3:$B$59,2,FALSE)="咒"</formula>
    </cfRule>
    <cfRule type="expression" dxfId="5" priority="81">
      <formula>VLOOKUP(F4,配装!$A$3:$B$59,2,FALSE)="灵"</formula>
    </cfRule>
    <cfRule type="expression" dxfId="6" priority="82">
      <formula>VLOOKUP(F4,配装!$A$3:$B$59,2,FALSE)="光"</formula>
    </cfRule>
  </conditionalFormatting>
  <conditionalFormatting sqref="AF4">
    <cfRule type="expression" dxfId="1" priority="44">
      <formula>VLOOKUP(AF4,配装!$A$3:$B$59,2,FALSE)="相"</formula>
    </cfRule>
    <cfRule type="expression" dxfId="2" priority="45">
      <formula>VLOOKUP(AF4,配装!$A$3:$B$59,2,FALSE)="魂"</formula>
    </cfRule>
    <cfRule type="expression" dxfId="3" priority="46">
      <formula>VLOOKUP(AF4,配装!$A$3:$B$59,2,FALSE)="暗"</formula>
    </cfRule>
    <cfRule type="expression" dxfId="4" priority="47">
      <formula>VLOOKUP(AF4,配装!$A$3:$B$59,2,FALSE)="咒"</formula>
    </cfRule>
    <cfRule type="expression" dxfId="5" priority="48">
      <formula>VLOOKUP(AF4,配装!$A$3:$B$59,2,FALSE)="灵"</formula>
    </cfRule>
    <cfRule type="expression" dxfId="6" priority="49">
      <formula>VLOOKUP(AF4,配装!$A$3:$B$59,2,FALSE)="光"</formula>
    </cfRule>
  </conditionalFormatting>
  <conditionalFormatting sqref="AK5">
    <cfRule type="cellIs" dxfId="7" priority="11" operator="equal">
      <formula>0</formula>
    </cfRule>
  </conditionalFormatting>
  <conditionalFormatting sqref="AK6">
    <cfRule type="cellIs" dxfId="8" priority="10" operator="equal">
      <formula>0</formula>
    </cfRule>
  </conditionalFormatting>
  <conditionalFormatting sqref="AK7">
    <cfRule type="cellIs" dxfId="9" priority="9" operator="equal">
      <formula>0</formula>
    </cfRule>
  </conditionalFormatting>
  <conditionalFormatting sqref="I8">
    <cfRule type="cellIs" dxfId="0" priority="23" operator="equal">
      <formula>0</formula>
    </cfRule>
  </conditionalFormatting>
  <conditionalFormatting sqref="AF8">
    <cfRule type="cellIs" dxfId="0" priority="33" operator="equal">
      <formula>0</formula>
    </cfRule>
  </conditionalFormatting>
  <conditionalFormatting sqref="H10">
    <cfRule type="cellIs" dxfId="0" priority="27" operator="equal">
      <formula>0</formula>
    </cfRule>
  </conditionalFormatting>
  <conditionalFormatting sqref="H11">
    <cfRule type="cellIs" dxfId="0" priority="26" operator="equal">
      <formula>0</formula>
    </cfRule>
  </conditionalFormatting>
  <conditionalFormatting sqref="I12:AC12">
    <cfRule type="cellIs" dxfId="0" priority="17" operator="equal">
      <formula>0</formula>
    </cfRule>
  </conditionalFormatting>
  <conditionalFormatting sqref="I13:AC13">
    <cfRule type="cellIs" dxfId="0" priority="16" operator="equal">
      <formula>0</formula>
    </cfRule>
  </conditionalFormatting>
  <conditionalFormatting sqref="AE16:AG16">
    <cfRule type="cellIs" dxfId="0" priority="69" operator="equal">
      <formula>0</formula>
    </cfRule>
  </conditionalFormatting>
  <conditionalFormatting sqref="F5:F7">
    <cfRule type="expression" dxfId="1" priority="71">
      <formula>VLOOKUP(F5,配装!$A$3:$B$59,2,FALSE)="相"</formula>
    </cfRule>
    <cfRule type="expression" dxfId="2" priority="72">
      <formula>VLOOKUP(F5,配装!$A$3:$B$59,2,FALSE)="魂"</formula>
    </cfRule>
    <cfRule type="expression" dxfId="3" priority="73">
      <formula>VLOOKUP(F5,配装!$A$3:$B$59,2,FALSE)="暗"</formula>
    </cfRule>
    <cfRule type="expression" dxfId="4" priority="74">
      <formula>VLOOKUP(F5,配装!$A$3:$B$59,2,FALSE)="咒"</formula>
    </cfRule>
    <cfRule type="expression" dxfId="5" priority="75">
      <formula>VLOOKUP(F5,配装!$A$3:$B$59,2,FALSE)="灵"</formula>
    </cfRule>
    <cfRule type="expression" dxfId="6" priority="76">
      <formula>VLOOKUP(F5,配装!$A$3:$B$59,2,FALSE)="光"</formula>
    </cfRule>
  </conditionalFormatting>
  <conditionalFormatting sqref="G10:G11">
    <cfRule type="cellIs" dxfId="0" priority="32" operator="equal">
      <formula>0</formula>
    </cfRule>
  </conditionalFormatting>
  <conditionalFormatting sqref="G12:G13">
    <cfRule type="cellIs" dxfId="0" priority="1" operator="equal">
      <formula>0</formula>
    </cfRule>
  </conditionalFormatting>
  <conditionalFormatting sqref="H8:H9">
    <cfRule type="cellIs" dxfId="0" priority="13" operator="equal">
      <formula>0</formula>
    </cfRule>
  </conditionalFormatting>
  <conditionalFormatting sqref="H12:H13">
    <cfRule type="cellIs" dxfId="0" priority="14" operator="equal">
      <formula>0</formula>
    </cfRule>
  </conditionalFormatting>
  <conditionalFormatting sqref="H14:H29">
    <cfRule type="cellIs" dxfId="0" priority="2" operator="equal">
      <formula>1</formula>
    </cfRule>
  </conditionalFormatting>
  <conditionalFormatting sqref="AD4:AD7">
    <cfRule type="cellIs" dxfId="0" priority="64" operator="equal">
      <formula>0</formula>
    </cfRule>
  </conditionalFormatting>
  <conditionalFormatting sqref="AD8:AD9">
    <cfRule type="cellIs" dxfId="0" priority="63" operator="equal">
      <formula>0</formula>
    </cfRule>
  </conditionalFormatting>
  <conditionalFormatting sqref="AD12:AD13">
    <cfRule type="cellIs" dxfId="0" priority="22" operator="equal">
      <formula>0</formula>
    </cfRule>
  </conditionalFormatting>
  <conditionalFormatting sqref="AE12:AE13">
    <cfRule type="cellIs" dxfId="0" priority="4" operator="equal">
      <formula>0</formula>
    </cfRule>
  </conditionalFormatting>
  <conditionalFormatting sqref="AF3:AF7">
    <cfRule type="cellIs" dxfId="0" priority="50" operator="equal">
      <formula>0</formula>
    </cfRule>
  </conditionalFormatting>
  <conditionalFormatting sqref="AF5:AF7">
    <cfRule type="expression" dxfId="1" priority="38">
      <formula>VLOOKUP(AF5,配装!$A$3:$B$59,2,FALSE)="相"</formula>
    </cfRule>
    <cfRule type="expression" dxfId="2" priority="39">
      <formula>VLOOKUP(AF5,配装!$A$3:$B$59,2,FALSE)="魂"</formula>
    </cfRule>
    <cfRule type="expression" dxfId="3" priority="40">
      <formula>VLOOKUP(AF5,配装!$A$3:$B$59,2,FALSE)="暗"</formula>
    </cfRule>
    <cfRule type="expression" dxfId="4" priority="41">
      <formula>VLOOKUP(AF5,配装!$A$3:$B$59,2,FALSE)="咒"</formula>
    </cfRule>
    <cfRule type="expression" dxfId="5" priority="42">
      <formula>VLOOKUP(AF5,配装!$A$3:$B$59,2,FALSE)="灵"</formula>
    </cfRule>
    <cfRule type="expression" dxfId="6" priority="43">
      <formula>VLOOKUP(AF5,配装!$A$3:$B$59,2,FALSE)="光"</formula>
    </cfRule>
  </conditionalFormatting>
  <conditionalFormatting sqref="AF9:AF10">
    <cfRule type="cellIs" dxfId="0" priority="31" operator="equal">
      <formula>0</formula>
    </cfRule>
  </conditionalFormatting>
  <conditionalFormatting sqref="AG8:AG10">
    <cfRule type="cellIs" dxfId="0" priority="30" operator="equal">
      <formula>0</formula>
    </cfRule>
  </conditionalFormatting>
  <conditionalFormatting sqref="AK3:AK4">
    <cfRule type="cellIs" dxfId="0" priority="15" operator="equal">
      <formula>0</formula>
    </cfRule>
  </conditionalFormatting>
  <conditionalFormatting sqref="$A1:$XFD1 A2:J2 AF2 AH2:XFD2 F3:F7 AM3:XFD7 AL8:XFD8 A9:B9 AL9:XFD9 A10:B10 AD10 AL10:XFD10 A11:B11 I11:AD11 AL11:XFD11 A12:B12 E12 AL12:XFD12 A13:D13 AL13:XFD13 A14:C14 E14:F14 I14:XFD14 A15:C15 E15:F15 I15:AC15 AE15:XFD15 A16:F16 I16:AC16 AH16:XFD16 A17:F17 I17:XFD17 A21:F21 I21:XFD21 I22:AC24 A26:F28 AD26:XFD28 A29:F29 J29:XFD29 A30:I30 K30:XFD30 $A31:$XFD1048576">
    <cfRule type="cellIs" dxfId="0" priority="83" operator="equal">
      <formula>0</formula>
    </cfRule>
  </conditionalFormatting>
  <conditionalFormatting sqref="AG3:AH7">
    <cfRule type="cellIs" dxfId="0" priority="34" operator="equal">
      <formula>0</formula>
    </cfRule>
  </conditionalFormatting>
  <conditionalFormatting sqref="AI3:AJ7">
    <cfRule type="cellIs" dxfId="0" priority="68" operator="equal">
      <formula>0</formula>
    </cfRule>
  </conditionalFormatting>
  <conditionalFormatting sqref="G4:H7">
    <cfRule type="cellIs" dxfId="0" priority="35" operator="equal">
      <formula>0</formula>
    </cfRule>
  </conditionalFormatting>
  <conditionalFormatting sqref="F8:G9 F10:F11">
    <cfRule type="cellIs" dxfId="0" priority="66" operator="equal">
      <formula>0</formula>
    </cfRule>
  </conditionalFormatting>
  <conditionalFormatting sqref="I9:AC10">
    <cfRule type="cellIs" dxfId="0" priority="25" operator="equal">
      <formula>0</formula>
    </cfRule>
  </conditionalFormatting>
  <conditionalFormatting sqref="G14:H14 H15:H29">
    <cfRule type="cellIs" dxfId="0" priority="3" operator="equal">
      <formula>0</formula>
    </cfRule>
  </conditionalFormatting>
  <conditionalFormatting sqref="A18:F18 I18:XFD18">
    <cfRule type="cellIs" dxfId="0" priority="12" operator="equal">
      <formula>0</formula>
    </cfRule>
  </conditionalFormatting>
  <conditionalFormatting sqref="A19:F19 I19:XFD19">
    <cfRule type="cellIs" dxfId="0" priority="6" operator="equal">
      <formula>0</formula>
    </cfRule>
  </conditionalFormatting>
  <conditionalFormatting sqref="A20:F20 I20:XFD20">
    <cfRule type="cellIs" dxfId="0" priority="5" operator="equal">
      <formula>0</formula>
    </cfRule>
  </conditionalFormatting>
  <conditionalFormatting sqref="A22:F22 AD22:XFD22 I25:AC25">
    <cfRule type="cellIs" dxfId="0" priority="20" operator="equal">
      <formula>0</formula>
    </cfRule>
  </conditionalFormatting>
  <conditionalFormatting sqref="A23:F23 AD23:XFD23 I26:AC26">
    <cfRule type="cellIs" dxfId="0" priority="21" operator="equal">
      <formula>0</formula>
    </cfRule>
  </conditionalFormatting>
  <conditionalFormatting sqref="A24:F24 AD24:XFD24 I27:AC27">
    <cfRule type="cellIs" dxfId="0" priority="18" operator="equal">
      <formula>0</formula>
    </cfRule>
  </conditionalFormatting>
  <conditionalFormatting sqref="A25:F25 AD25:XFD25 I28:AC28 I29">
    <cfRule type="cellIs" dxfId="0" priority="19" operator="equal">
      <formula>0</formula>
    </cfRule>
  </conditionalFormatting>
  <dataValidations count="17">
    <dataValidation type="list" showInputMessage="1" showErrorMessage="1" sqref="J4:AC4">
      <formula1>中间!$B$22:$B$37</formula1>
    </dataValidation>
    <dataValidation type="list" showInputMessage="1" showErrorMessage="1" sqref="J5:AC5">
      <formula1>中间!$C$22:$C$37</formula1>
    </dataValidation>
    <dataValidation type="list" showInputMessage="1" showErrorMessage="1" sqref="J6:AC6">
      <formula1>中间!$D$22:$D$37</formula1>
    </dataValidation>
    <dataValidation type="list" showInputMessage="1" showErrorMessage="1" sqref="J7:AC7">
      <formula1>中间!$E$22:$E$37</formula1>
    </dataValidation>
    <dataValidation type="list" showInputMessage="1" showErrorMessage="1" sqref="G11">
      <formula1>中间!$W$2:$W$8</formula1>
    </dataValidation>
    <dataValidation type="list" allowBlank="1" showInputMessage="1" showErrorMessage="1" sqref="H11">
      <formula1>"4%,10%,20%"</formula1>
    </dataValidation>
    <dataValidation type="list" showInputMessage="1" showErrorMessage="1" sqref="J11:AC11">
      <formula1>中间!$O$2:$O$10</formula1>
    </dataValidation>
    <dataValidation type="list" showInputMessage="1" showErrorMessage="1" sqref="J12:AC12">
      <formula1>中间!$T$2:$T$3</formula1>
    </dataValidation>
    <dataValidation type="list" allowBlank="1" showInputMessage="1" showErrorMessage="1" sqref="G13">
      <formula1>"群怪,BOSS"</formula1>
    </dataValidation>
    <dataValidation type="decimal" operator="between" allowBlank="1" showInputMessage="1" showErrorMessage="1" sqref="H13">
      <formula1>0</formula1>
      <formula2>4</formula2>
    </dataValidation>
    <dataValidation type="list" showInputMessage="1" showErrorMessage="1" sqref="J13:AC13">
      <formula1>中间!$V$2:$V$6</formula1>
    </dataValidation>
    <dataValidation type="list" allowBlank="1" showInputMessage="1" showErrorMessage="1" sqref="F4:F7">
      <formula1>配装!$A$3:$A$19</formula1>
    </dataValidation>
    <dataValidation type="list" allowBlank="1" showInputMessage="1" showErrorMessage="1" sqref="AF4:AF7" showDropDown="1">
      <formula1>配装!$A$3:$A$19</formula1>
    </dataValidation>
    <dataValidation type="list" allowBlank="1" showInputMessage="1" showErrorMessage="1" sqref="J14:AC15">
      <formula1>增益!$A$2:$A$11</formula1>
    </dataValidation>
    <dataValidation type="list" allowBlank="1" showInputMessage="1" showErrorMessage="1" sqref="J22:AC25">
      <formula1>增益!$A$23:$A$27</formula1>
    </dataValidation>
    <dataValidation type="list" allowBlank="1" showInputMessage="1" showErrorMessage="1" sqref="J26:AC29">
      <formula1>增益!$A$28:$A$39</formula1>
    </dataValidation>
    <dataValidation type="list" allowBlank="1" showInputMessage="1" showErrorMessage="1" sqref="J16:AC21">
      <formula1>增益!$A$12:$A$22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9"/>
  <sheetViews>
    <sheetView zoomScale="85" zoomScaleNormal="85" topLeftCell="A2" workbookViewId="0">
      <pane xSplit="1" ySplit="1" topLeftCell="AF3" activePane="bottomRight" state="frozen"/>
      <selection/>
      <selection pane="topRight"/>
      <selection pane="bottomLeft"/>
      <selection pane="bottomRight" activeCell="AR7" sqref="AR7:AW7"/>
    </sheetView>
  </sheetViews>
  <sheetFormatPr defaultColWidth="11.7788461538462" defaultRowHeight="44" customHeight="1"/>
  <cols>
    <col min="1" max="3" width="11.7788461538462" style="44" customWidth="1"/>
    <col min="4" max="6" width="11.7788461538462" style="44" hidden="1" customWidth="1"/>
    <col min="7" max="7" width="11.7788461538462" style="44" customWidth="1"/>
    <col min="8" max="10" width="11.7788461538462" style="44" hidden="1" customWidth="1"/>
    <col min="11" max="11" width="11.7788461538462" style="44" customWidth="1"/>
    <col min="12" max="14" width="11.7788461538462" style="44" hidden="1" customWidth="1"/>
    <col min="15" max="21" width="11.7788461538462" style="44" customWidth="1"/>
    <col min="22" max="22" width="14.4134615384615" style="45" customWidth="1"/>
    <col min="23" max="23" width="36.6826923076923" style="46" customWidth="1"/>
    <col min="24" max="24" width="15.2596153846154" style="44" customWidth="1"/>
    <col min="25" max="25" width="36.6826923076923" style="46" customWidth="1"/>
    <col min="26" max="26" width="11.1826923076923" style="46" customWidth="1"/>
    <col min="27" max="27" width="11.1826923076923" style="46" hidden="1" customWidth="1"/>
    <col min="28" max="28" width="11.7788461538462" style="44" customWidth="1"/>
    <col min="29" max="30" width="11.7788461538462" style="44" hidden="1" customWidth="1"/>
    <col min="31" max="36" width="11.7788461538462" style="44" customWidth="1"/>
    <col min="37" max="37" width="12.25" style="44" customWidth="1"/>
    <col min="38" max="49" width="11.7788461538462" style="44" customWidth="1"/>
    <col min="50" max="50" width="11.7788461538462" style="44" hidden="1" customWidth="1"/>
    <col min="51" max="16384" width="11.7788461538462" style="44" customWidth="1"/>
  </cols>
  <sheetData>
    <row r="1" customHeight="1" spans="1:52">
      <c r="A1" s="44">
        <f>COLUMN()</f>
        <v>1</v>
      </c>
      <c r="B1" s="44">
        <f>COLUMN()</f>
        <v>2</v>
      </c>
      <c r="C1" s="44">
        <f t="shared" ref="C1:L1" si="0">COLUMN()</f>
        <v>3</v>
      </c>
      <c r="D1" s="44">
        <f t="shared" si="0"/>
        <v>4</v>
      </c>
      <c r="E1" s="44">
        <f t="shared" si="0"/>
        <v>5</v>
      </c>
      <c r="F1" s="44">
        <f t="shared" si="0"/>
        <v>6</v>
      </c>
      <c r="G1" s="44">
        <f t="shared" si="0"/>
        <v>7</v>
      </c>
      <c r="H1" s="44">
        <f t="shared" ref="H1:AE1" si="1">COLUMN()</f>
        <v>8</v>
      </c>
      <c r="I1" s="44">
        <f t="shared" si="1"/>
        <v>9</v>
      </c>
      <c r="J1" s="44">
        <f t="shared" si="1"/>
        <v>10</v>
      </c>
      <c r="K1" s="44">
        <f t="shared" si="1"/>
        <v>11</v>
      </c>
      <c r="L1" s="44">
        <f t="shared" si="1"/>
        <v>12</v>
      </c>
      <c r="M1" s="44">
        <f t="shared" si="1"/>
        <v>13</v>
      </c>
      <c r="N1" s="44">
        <f t="shared" si="1"/>
        <v>14</v>
      </c>
      <c r="O1" s="44">
        <f t="shared" si="1"/>
        <v>15</v>
      </c>
      <c r="P1" s="44">
        <f t="shared" si="1"/>
        <v>16</v>
      </c>
      <c r="Q1" s="44">
        <f t="shared" si="1"/>
        <v>17</v>
      </c>
      <c r="R1" s="44">
        <f t="shared" si="1"/>
        <v>18</v>
      </c>
      <c r="S1" s="44">
        <f t="shared" si="1"/>
        <v>19</v>
      </c>
      <c r="T1" s="44">
        <f t="shared" si="1"/>
        <v>20</v>
      </c>
      <c r="U1" s="44">
        <f t="shared" si="1"/>
        <v>21</v>
      </c>
      <c r="V1" s="45">
        <f t="shared" si="1"/>
        <v>22</v>
      </c>
      <c r="W1" s="44">
        <f t="shared" si="1"/>
        <v>23</v>
      </c>
      <c r="X1" s="44">
        <f t="shared" si="1"/>
        <v>24</v>
      </c>
      <c r="Y1" s="44">
        <f t="shared" si="1"/>
        <v>25</v>
      </c>
      <c r="Z1" s="44">
        <f t="shared" si="1"/>
        <v>26</v>
      </c>
      <c r="AA1" s="44">
        <f t="shared" si="1"/>
        <v>27</v>
      </c>
      <c r="AB1" s="44">
        <f t="shared" si="1"/>
        <v>28</v>
      </c>
      <c r="AC1" s="44">
        <f t="shared" si="1"/>
        <v>29</v>
      </c>
      <c r="AD1" s="44">
        <f t="shared" si="1"/>
        <v>30</v>
      </c>
      <c r="AE1" s="44">
        <f t="shared" si="1"/>
        <v>31</v>
      </c>
      <c r="AF1" s="44">
        <f t="shared" ref="AF1:AQ1" si="2">COLUMN()</f>
        <v>32</v>
      </c>
      <c r="AG1" s="44">
        <f t="shared" si="2"/>
        <v>33</v>
      </c>
      <c r="AH1" s="44">
        <f t="shared" si="2"/>
        <v>34</v>
      </c>
      <c r="AI1" s="44">
        <f t="shared" si="2"/>
        <v>35</v>
      </c>
      <c r="AJ1" s="44">
        <f t="shared" si="2"/>
        <v>36</v>
      </c>
      <c r="AK1" s="44">
        <f t="shared" si="2"/>
        <v>37</v>
      </c>
      <c r="AL1" s="44">
        <f t="shared" si="2"/>
        <v>38</v>
      </c>
      <c r="AM1" s="44">
        <f t="shared" si="2"/>
        <v>39</v>
      </c>
      <c r="AN1" s="44">
        <f t="shared" si="2"/>
        <v>40</v>
      </c>
      <c r="AO1" s="44">
        <f t="shared" si="2"/>
        <v>41</v>
      </c>
      <c r="AP1" s="44">
        <f t="shared" si="2"/>
        <v>42</v>
      </c>
      <c r="AQ1" s="44">
        <f t="shared" si="2"/>
        <v>43</v>
      </c>
      <c r="AR1" s="44">
        <f t="shared" ref="AR1:BB1" si="3">COLUMN()</f>
        <v>44</v>
      </c>
      <c r="AS1" s="44">
        <f t="shared" si="3"/>
        <v>45</v>
      </c>
      <c r="AT1" s="44">
        <f t="shared" si="3"/>
        <v>46</v>
      </c>
      <c r="AU1" s="44">
        <f t="shared" si="3"/>
        <v>47</v>
      </c>
      <c r="AV1" s="44">
        <f t="shared" si="3"/>
        <v>48</v>
      </c>
      <c r="AW1" s="44">
        <f t="shared" si="3"/>
        <v>49</v>
      </c>
      <c r="AX1" s="44">
        <f t="shared" si="3"/>
        <v>50</v>
      </c>
      <c r="AY1" s="44">
        <f t="shared" si="3"/>
        <v>51</v>
      </c>
      <c r="AZ1" s="44">
        <f t="shared" si="3"/>
        <v>52</v>
      </c>
    </row>
    <row r="2" customHeight="1" spans="1:52">
      <c r="A2" s="44" t="s">
        <v>2</v>
      </c>
      <c r="B2" s="44" t="s">
        <v>79</v>
      </c>
      <c r="C2" s="44" t="s">
        <v>80</v>
      </c>
      <c r="D2" s="44" t="s">
        <v>81</v>
      </c>
      <c r="E2" s="44" t="s">
        <v>82</v>
      </c>
      <c r="F2" s="44" t="s">
        <v>83</v>
      </c>
      <c r="G2" s="44" t="s">
        <v>84</v>
      </c>
      <c r="H2" s="44" t="s">
        <v>85</v>
      </c>
      <c r="I2" s="44" t="s">
        <v>86</v>
      </c>
      <c r="J2" s="44" t="s">
        <v>87</v>
      </c>
      <c r="K2" s="44" t="s">
        <v>88</v>
      </c>
      <c r="L2" s="44" t="s">
        <v>89</v>
      </c>
      <c r="M2" s="44" t="s">
        <v>90</v>
      </c>
      <c r="N2" s="44" t="s">
        <v>91</v>
      </c>
      <c r="O2" s="44" t="s">
        <v>92</v>
      </c>
      <c r="P2" s="44" t="s">
        <v>93</v>
      </c>
      <c r="Q2" s="44" t="s">
        <v>94</v>
      </c>
      <c r="R2" s="44" t="s">
        <v>95</v>
      </c>
      <c r="S2" s="44" t="s">
        <v>96</v>
      </c>
      <c r="T2" s="44" t="s">
        <v>97</v>
      </c>
      <c r="U2" s="44" t="s">
        <v>98</v>
      </c>
      <c r="V2" s="45" t="s">
        <v>99</v>
      </c>
      <c r="W2" s="44" t="s">
        <v>100</v>
      </c>
      <c r="X2" s="44" t="s">
        <v>101</v>
      </c>
      <c r="Y2" s="44" t="s">
        <v>100</v>
      </c>
      <c r="Z2" s="45" t="s">
        <v>102</v>
      </c>
      <c r="AA2" s="45" t="s">
        <v>103</v>
      </c>
      <c r="AB2" s="45" t="s">
        <v>104</v>
      </c>
      <c r="AC2" s="45" t="s">
        <v>105</v>
      </c>
      <c r="AD2" s="45" t="s">
        <v>106</v>
      </c>
      <c r="AE2" s="45" t="s">
        <v>107</v>
      </c>
      <c r="AF2" s="45" t="s">
        <v>108</v>
      </c>
      <c r="AG2" s="45" t="s">
        <v>109</v>
      </c>
      <c r="AH2" s="45" t="s">
        <v>110</v>
      </c>
      <c r="AI2" s="45" t="s">
        <v>111</v>
      </c>
      <c r="AJ2" s="45" t="s">
        <v>112</v>
      </c>
      <c r="AK2" s="45" t="s">
        <v>113</v>
      </c>
      <c r="AL2" s="45" t="s">
        <v>114</v>
      </c>
      <c r="AM2" s="45" t="s">
        <v>115</v>
      </c>
      <c r="AN2" s="45" t="s">
        <v>116</v>
      </c>
      <c r="AO2" s="45" t="s">
        <v>117</v>
      </c>
      <c r="AP2" s="45" t="s">
        <v>118</v>
      </c>
      <c r="AQ2" s="45" t="s">
        <v>119</v>
      </c>
      <c r="AR2" s="44" t="s">
        <v>120</v>
      </c>
      <c r="AS2" s="44" t="s">
        <v>121</v>
      </c>
      <c r="AT2" s="44" t="s">
        <v>122</v>
      </c>
      <c r="AU2" s="44" t="s">
        <v>123</v>
      </c>
      <c r="AV2" s="44" t="s">
        <v>124</v>
      </c>
      <c r="AW2" s="44" t="s">
        <v>125</v>
      </c>
      <c r="AX2" s="44" t="s">
        <v>5</v>
      </c>
      <c r="AY2" s="44" t="s">
        <v>126</v>
      </c>
      <c r="AZ2" s="44" t="s">
        <v>127</v>
      </c>
    </row>
    <row r="3" customHeight="1" spans="1:52">
      <c r="A3" s="44" t="s">
        <v>21</v>
      </c>
      <c r="B3" s="44" t="str">
        <f>角色!B3</f>
        <v>光</v>
      </c>
      <c r="C3" s="44" t="s">
        <v>128</v>
      </c>
      <c r="D3" s="44">
        <f>角色!D3+VLOOKUP($V3,弧盘!$A$2:$C$51,弧盘!$B$1,FALSE)</f>
        <v>1187.75</v>
      </c>
      <c r="E3" s="44">
        <f>角色!L3+VLOOKUP($V3,弧盘!$A$2:$AF$51,弧盘!$I$1,FALSE)+VLOOKUP($X3,卡带!$A$2:$V$14,卡带!$C$1,FALSE)+IF($AB3="攻击",中间!$M$7,0)+IF($AD3="攻击",$AF3*$AC3%,0)+AL3</f>
        <v>0.725</v>
      </c>
      <c r="F3" s="47">
        <f>AM3+角色!M3+中间!$L$20</f>
        <v>420</v>
      </c>
      <c r="G3" s="47">
        <f>D3*(1+E3)+F3</f>
        <v>2468.86875</v>
      </c>
      <c r="H3" s="44">
        <f>角色!F3</f>
        <v>15150</v>
      </c>
      <c r="I3" s="44">
        <f>角色!N3+VLOOKUP($V3,弧盘!$A$2:$AF$51,弧盘!$J$1,FALSE)+VLOOKUP($X3,卡带!$A$2:$V$14,卡带!$D$1,FALSE)+IF($AB3="生命",中间!$M$8,0)+IF($AD3="生命",$AF3*$AC3%,0)+AN3</f>
        <v>0</v>
      </c>
      <c r="J3" s="47">
        <f>AO3+角色!O3+中间!$L$21</f>
        <v>5200</v>
      </c>
      <c r="K3" s="47">
        <f>H3*(1+I3)+J3</f>
        <v>20350</v>
      </c>
      <c r="L3" s="44">
        <f>角色!H3</f>
        <v>909</v>
      </c>
      <c r="M3" s="44">
        <f>角色!P3+VLOOKUP($V3,弧盘!$A$2:$AF$51,弧盘!$K$1,FALSE)+VLOOKUP($X3,卡带!$A$2:$V$14,卡带!$E$1,FALSE)+IF($AB3="防御",中间!$M$9,0)+IF($AD3="防御",$AF3*$AC3%,0)+AR3</f>
        <v>0</v>
      </c>
      <c r="N3" s="47">
        <f>AQ3+角色!Q3</f>
        <v>0</v>
      </c>
      <c r="O3" s="47">
        <f>L3*(1+M3)+N3</f>
        <v>909</v>
      </c>
      <c r="P3" s="48">
        <f>角色!J3+VLOOKUP($V3,弧盘!$A$2:$AF$51,弧盘!$G$1,FALSE)+IF(AB3="暴击",中间!$M$3,0)+AH3+IF($AD3="暴击",$AC3%*$AF3,0)</f>
        <v>0.15</v>
      </c>
      <c r="Q3" s="48">
        <f>角色!K3+VLOOKUP($V3,弧盘!$A$2:$AF$51,弧盘!$H$1,FALSE)+IF(AB3="暴伤",中间!$M$4,0)+IF($AD3="暴伤",$AC3%*$AF3,0)+AI3</f>
        <v>0.7</v>
      </c>
      <c r="R3" s="48">
        <f>角色!X3+VLOOKUP($X3,卡带!A$3:B$15,卡带!$B$1,FALSE)+IF(AB3="属伤",中间!$M$2,0)+IF($AD3="属伤",$AC3%*$AF3,0)</f>
        <v>0.1</v>
      </c>
      <c r="S3" s="48">
        <f>角色!T3+VLOOKUP($V3,弧盘!$A$2:$AF$51,弧盘!$L$1,FALSE)+VLOOKUP($X3,卡带!A$3:F$15,卡带!$F$1,FALSE)+IF($AD3="充能",$AC3%*$AF3,0)</f>
        <v>0.33</v>
      </c>
      <c r="T3" s="49">
        <f>角色!U3+VLOOKUP($V3,弧盘!$A$2:$AF$51,弧盘!M$1,FALSE)+VLOOKUP($X3,卡带!$A$2:$V$14,卡带!G$1,FALSE)+IF($AB3="精通",中间!$M$5,0)+IF($AD3="精通",$AC3%*$AF3,0)+AJ3</f>
        <v>270</v>
      </c>
      <c r="U3" s="49">
        <f>角色!V3+VLOOKUP($V3,弧盘!$A$2:$AF$51,弧盘!N$1,FALSE)+VLOOKUP($X3,卡带!$A$2:$V$14,卡带!H$1,FALSE)+IF($AB3="倾陷",中间!$M$6,0)+AK3</f>
        <v>0</v>
      </c>
      <c r="V3" s="50" t="s">
        <v>129</v>
      </c>
      <c r="W3" s="46" t="str">
        <f>IFERROR(VLOOKUP(V3,弧盘!$A$2:O53,弧盘!$O$1,FALSE),"")</f>
        <v>30攻击；调弧：对群回能</v>
      </c>
      <c r="X3" s="50" t="s">
        <v>130</v>
      </c>
      <c r="Y3" s="46" t="str">
        <f>IFERROR(VLOOKUP(X3,卡带!$A$2:$J$14,卡带!$J$1,FALSE),"")</f>
        <v>10光伤；Q后20秒减防25</v>
      </c>
      <c r="Z3" s="45">
        <v>10</v>
      </c>
      <c r="AA3" s="45">
        <f>POWER(1.08,Z3-1+IF(AY3,1,0))</f>
        <v>2.15892499727279</v>
      </c>
      <c r="AB3" s="51" t="s">
        <v>131</v>
      </c>
      <c r="AC3" s="44">
        <v>10</v>
      </c>
      <c r="AD3" s="44" t="s">
        <v>132</v>
      </c>
      <c r="AE3" s="44" t="str">
        <f>AC3&amp;AD3</f>
        <v>10攻击</v>
      </c>
      <c r="AF3" s="51">
        <v>6</v>
      </c>
      <c r="AG3" s="52">
        <v>0.15</v>
      </c>
      <c r="AH3" s="52">
        <v>0.1</v>
      </c>
      <c r="AI3" s="52">
        <v>0.2</v>
      </c>
      <c r="AJ3" s="44">
        <v>90</v>
      </c>
      <c r="AL3" s="48">
        <v>0.125</v>
      </c>
      <c r="AN3" s="52"/>
      <c r="AP3" s="52"/>
      <c r="AR3" s="44"/>
      <c r="AS3" s="44" t="b">
        <v>1</v>
      </c>
      <c r="AT3" s="44" t="b">
        <v>1</v>
      </c>
      <c r="AU3" s="44" t="b">
        <v>1</v>
      </c>
      <c r="AV3" s="53"/>
      <c r="AW3" s="44"/>
      <c r="AX3" s="44">
        <f>COUNTIF($AR3:$AW3,TRUE)</f>
        <v>3</v>
      </c>
      <c r="AY3" s="44" t="b">
        <f>AX3&gt;2</f>
        <v>1</v>
      </c>
      <c r="AZ3" s="44" t="b">
        <f>AX3&gt;5</f>
        <v>0</v>
      </c>
    </row>
    <row r="4" customHeight="1" spans="1:52">
      <c r="A4" s="44" t="s">
        <v>133</v>
      </c>
      <c r="B4" s="44" t="str">
        <f>角色!B4</f>
        <v>光</v>
      </c>
      <c r="C4" s="44" t="s">
        <v>128</v>
      </c>
      <c r="D4" s="44">
        <f>角色!D4+VLOOKUP($V4,弧盘!$A$2:$C$51,弧盘!$B$1,FALSE)</f>
        <v>1206</v>
      </c>
      <c r="E4" s="44">
        <f>角色!L4+VLOOKUP($V4,弧盘!$A$2:$AF$51,弧盘!$I$1,FALSE)+VLOOKUP($X4,卡带!$A$2:$V$14,卡带!$C$1,FALSE)+IF($AB4="攻击",中间!$M$7,0)+IF($AD4="攻击",$AF4*$AC4%,0)+AL4</f>
        <v>0.1875</v>
      </c>
      <c r="F4" s="47">
        <f>AM4+角色!M4+中间!$L$20</f>
        <v>420</v>
      </c>
      <c r="G4" s="47">
        <f t="shared" ref="G4:G18" si="4">D4*(1+E4)+F4</f>
        <v>1852.125</v>
      </c>
      <c r="H4" s="44">
        <f>角色!F4</f>
        <v>15998.4</v>
      </c>
      <c r="I4" s="44">
        <f>角色!N4+VLOOKUP($V4,弧盘!$A$2:$AF$51,弧盘!$J$1,FALSE)+VLOOKUP($X4,卡带!$A$2:$V$14,卡带!$D$1,FALSE)+IF($AB4="生命",中间!$M$8,0)+IF($AD4="生命",$AF4*$AC4%,0)+AN4</f>
        <v>0</v>
      </c>
      <c r="J4" s="47">
        <f>AO4+角色!O4+中间!$L$21</f>
        <v>5200</v>
      </c>
      <c r="K4" s="47">
        <f t="shared" ref="K4:K18" si="5">H4*(1+I4)+J4</f>
        <v>21198.4</v>
      </c>
      <c r="L4" s="44">
        <f>角色!H4</f>
        <v>909</v>
      </c>
      <c r="M4" s="44">
        <f>角色!P4+VLOOKUP($V4,弧盘!$A$2:$AF$51,弧盘!$K$1,FALSE)+VLOOKUP($X4,卡带!$A$2:$V$14,卡带!$E$1,FALSE)+IF($AB4="防御",中间!$M$9,0)+IF($AD4="防御",$AF4*$AC4%,0)+AR4</f>
        <v>0</v>
      </c>
      <c r="N4" s="47">
        <f>AQ4+角色!Q4</f>
        <v>0</v>
      </c>
      <c r="O4" s="47">
        <f t="shared" ref="O4:O18" si="6">L4*(1+M4)+N4</f>
        <v>909</v>
      </c>
      <c r="P4" s="48">
        <f>角色!J4+VLOOKUP($V4,弧盘!$A$2:$AF$51,弧盘!$G$1,FALSE)+IF(AB4="暴击",中间!$M$3,0)+AH4+IF($AD4="暴击",$AC4%*$AF4,0)</f>
        <v>0.74</v>
      </c>
      <c r="Q4" s="48">
        <f>角色!K4+VLOOKUP($V4,弧盘!$A$2:$AF$51,弧盘!$H$1,FALSE)+IF(AB4="暴伤",中间!$M$4,0)+IF($AD4="暴伤",$AC4%*$AF4,0)+AI4</f>
        <v>0.8</v>
      </c>
      <c r="R4" s="48">
        <f>角色!X4+VLOOKUP($X4,卡带!A$3:B$15,卡带!$B$1,FALSE)+IF(AB4="属伤",中间!$M$2,0)+IF($AD4="属伤",$AC4%*$AF4,0)</f>
        <v>0.5</v>
      </c>
      <c r="S4" s="48">
        <f>角色!T4+VLOOKUP($V4,弧盘!$A$2:$AF$51,弧盘!$L$1,FALSE)+VLOOKUP($X4,卡带!A$3:F$15,卡带!$F$1,FALSE)+IF($AD4="充能",$AC4%*$AF4,0)</f>
        <v>0</v>
      </c>
      <c r="T4" s="49">
        <f>角色!U4+VLOOKUP($V4,弧盘!$A$2:$AF$51,弧盘!M$1,FALSE)+VLOOKUP($X4,卡带!$A$2:$V$14,卡带!G$1,FALSE)+IF($AB4="精通",中间!$M$5,0)+IF($AD4="精通",$AC4%*$AF4,0)+AJ4</f>
        <v>0</v>
      </c>
      <c r="U4" s="49">
        <f>角色!V4+VLOOKUP($V4,弧盘!$A$2:$AF$51,弧盘!N$1,FALSE)+VLOOKUP($X4,卡带!$A$2:$V$14,卡带!H$1,FALSE)+IF($AB4="倾陷",中间!$M$6,0)+AK4</f>
        <v>0</v>
      </c>
      <c r="V4" s="50" t="s">
        <v>134</v>
      </c>
      <c r="W4" s="46" t="str">
        <f>IFERROR(VLOOKUP(V4,弧盘!$A$2:O54,弧盘!$O$1,FALSE),"")</f>
        <v>16攻击；e后每秒q的45暴伤和12减防</v>
      </c>
      <c r="X4" s="50" t="s">
        <v>130</v>
      </c>
      <c r="Y4" s="46" t="str">
        <f>IFERROR(VLOOKUP(X4,卡带!$A$2:$J$14,卡带!$J$1,FALSE),"")</f>
        <v>10光伤；Q后20秒减防25</v>
      </c>
      <c r="Z4" s="45">
        <v>10</v>
      </c>
      <c r="AA4" s="45">
        <f t="shared" ref="AA4:AA18" si="7">POWER(1.08,Z4-1+IF(AY4,1,0))</f>
        <v>1.99900462710443</v>
      </c>
      <c r="AB4" s="51" t="s">
        <v>135</v>
      </c>
      <c r="AC4" s="44">
        <v>10</v>
      </c>
      <c r="AD4" s="44" t="s">
        <v>136</v>
      </c>
      <c r="AE4" s="44" t="str">
        <f>AC4&amp;AD4</f>
        <v>10属伤</v>
      </c>
      <c r="AF4" s="51">
        <v>4</v>
      </c>
      <c r="AG4" s="52">
        <v>0.15</v>
      </c>
      <c r="AH4" s="52">
        <v>0.15</v>
      </c>
      <c r="AI4" s="52">
        <v>0.3</v>
      </c>
      <c r="AL4" s="48">
        <f t="shared" ref="AL4:AL6" si="8">15*1.25%</f>
        <v>0.1875</v>
      </c>
      <c r="AN4" s="52"/>
      <c r="AP4" s="52"/>
      <c r="AR4" s="54"/>
      <c r="AS4" s="54"/>
      <c r="AT4" s="54"/>
      <c r="AU4" s="54"/>
      <c r="AV4" s="54"/>
      <c r="AW4" s="54"/>
      <c r="AX4" s="44">
        <f t="shared" ref="AX4:AX18" si="9">COUNTIF($AR4:$AW4,TRUE)</f>
        <v>0</v>
      </c>
      <c r="AY4" s="44" t="b">
        <f t="shared" ref="AY4:AY18" si="10">AX4&gt;2</f>
        <v>0</v>
      </c>
      <c r="AZ4" s="44" t="b">
        <f t="shared" ref="AZ4:AZ18" si="11">AX4&gt;5</f>
        <v>0</v>
      </c>
    </row>
    <row r="5" customHeight="1" spans="1:52">
      <c r="A5" s="44" t="s">
        <v>137</v>
      </c>
      <c r="B5" s="44" t="s">
        <v>138</v>
      </c>
      <c r="C5" s="44" t="s">
        <v>139</v>
      </c>
      <c r="D5" s="44">
        <f>角色!D5+VLOOKUP($V5,弧盘!$A$2:$C$51,弧盘!$B$1,FALSE)</f>
        <v>1171.85</v>
      </c>
      <c r="E5" s="44">
        <f>角色!L5+VLOOKUP($V5,弧盘!$A$2:$AF$51,弧盘!$I$1,FALSE)+VLOOKUP($X5,卡带!$A$2:$V$14,卡带!$C$1,FALSE)+IF($AB5="攻击",中间!$M$7,0)+IF($AD5="攻击",$AF5*$AC5%,0)+AL5</f>
        <v>0.1875</v>
      </c>
      <c r="F5" s="47">
        <f>AM5+角色!M5+中间!$L$20</f>
        <v>420</v>
      </c>
      <c r="G5" s="47">
        <f t="shared" si="4"/>
        <v>1811.571875</v>
      </c>
      <c r="H5" s="44">
        <f>角色!F5</f>
        <v>15513.6</v>
      </c>
      <c r="I5" s="44">
        <f>角色!N5+VLOOKUP($V5,弧盘!$A$2:$AF$51,弧盘!$J$1,FALSE)+VLOOKUP($X5,卡带!$A$2:$V$14,卡带!$D$1,FALSE)+IF($AB5="生命",中间!$M$8,0)+IF($AD5="生命",$AF5*$AC5%,0)+AN5</f>
        <v>0</v>
      </c>
      <c r="J5" s="47">
        <f>AO5+角色!O5+中间!$L$21</f>
        <v>5200</v>
      </c>
      <c r="K5" s="47">
        <f t="shared" si="5"/>
        <v>20713.6</v>
      </c>
      <c r="L5" s="44">
        <f>角色!H5</f>
        <v>909</v>
      </c>
      <c r="M5" s="44">
        <f>角色!P5+VLOOKUP($V5,弧盘!$A$2:$AF$51,弧盘!$K$1,FALSE)+VLOOKUP($X5,卡带!$A$2:$V$14,卡带!$E$1,FALSE)+IF($AB5="防御",中间!$M$9,0)+IF($AD5="防御",$AF5*$AC5%,0)+AR5</f>
        <v>1</v>
      </c>
      <c r="N5" s="47">
        <f>AQ5+角色!Q5</f>
        <v>0</v>
      </c>
      <c r="O5" s="47">
        <f t="shared" si="6"/>
        <v>1818</v>
      </c>
      <c r="P5" s="48">
        <f>角色!J5+VLOOKUP($V5,弧盘!$A$2:$AF$51,弧盘!$G$1,FALSE)+IF(AB5="暴击",中间!$M$3,0)+AH5+IF($AD5="暴击",$AC5%*$AF5,0)</f>
        <v>0.5</v>
      </c>
      <c r="Q5" s="48">
        <f>角色!K5+VLOOKUP($V5,弧盘!$A$2:$AF$51,弧盘!$H$1,FALSE)+IF(AB5="暴伤",中间!$M$4,0)+IF($AD5="暴伤",$AC5%*$AF5,0)+AI5</f>
        <v>1.24</v>
      </c>
      <c r="R5" s="48">
        <f>角色!X5+VLOOKUP($X5,卡带!A$3:B$15,卡带!$B$1,FALSE)+IF(AB5="属伤",中间!$M$2,0)+IF($AD5="属伤",$AC5%*$AF5,0)</f>
        <v>0.7</v>
      </c>
      <c r="S5" s="48">
        <f>角色!T5+VLOOKUP($V5,弧盘!$A$2:$AF$51,弧盘!$L$1,FALSE)+VLOOKUP($X5,卡带!A$3:F$15,卡带!$F$1,FALSE)+IF($AD5="充能",$AC5%*$AF5,0)</f>
        <v>0</v>
      </c>
      <c r="T5" s="49">
        <f>角色!U5+VLOOKUP($V5,弧盘!$A$2:$AF$51,弧盘!M$1,FALSE)+VLOOKUP($X5,卡带!$A$2:$V$14,卡带!G$1,FALSE)+IF($AB5="精通",中间!$M$5,0)+IF($AD5="精通",$AC5%*$AF5,0)+AJ5</f>
        <v>0</v>
      </c>
      <c r="U5" s="49">
        <f>角色!V5+VLOOKUP($V5,弧盘!$A$2:$AF$51,弧盘!N$1,FALSE)+VLOOKUP($X5,卡带!$A$2:$V$14,卡带!H$1,FALSE)+IF($AB5="倾陷",中间!$M$6,0)+AK5</f>
        <v>0</v>
      </c>
      <c r="V5" s="50" t="s">
        <v>140</v>
      </c>
      <c r="W5" s="46" t="str">
        <f>IFERROR(VLOOKUP(V5,弧盘!$A$2:O55,弧盘!$O$1,FALSE),"")</f>
        <v>100万方斯叠满25光伤</v>
      </c>
      <c r="X5" s="50" t="s">
        <v>130</v>
      </c>
      <c r="Y5" s="46" t="str">
        <f>IFERROR(VLOOKUP(X5,卡带!$A$2:$J$14,卡带!$J$1,FALSE),"")</f>
        <v>10光伤；Q后20秒减防25</v>
      </c>
      <c r="Z5" s="45">
        <v>10</v>
      </c>
      <c r="AA5" s="45">
        <f>POWER(1.08,Z5-1)</f>
        <v>1.99900462710443</v>
      </c>
      <c r="AB5" s="51" t="s">
        <v>135</v>
      </c>
      <c r="AC5" s="44">
        <v>10</v>
      </c>
      <c r="AD5" s="44" t="s">
        <v>136</v>
      </c>
      <c r="AE5" s="44" t="str">
        <f t="shared" ref="AE5:AE18" si="12">AC5&amp;AD5</f>
        <v>10属伤</v>
      </c>
      <c r="AF5" s="51">
        <v>4</v>
      </c>
      <c r="AG5" s="52">
        <v>0.15</v>
      </c>
      <c r="AH5" s="52">
        <v>0.15</v>
      </c>
      <c r="AI5" s="52">
        <v>0.3</v>
      </c>
      <c r="AL5" s="48">
        <f t="shared" si="8"/>
        <v>0.1875</v>
      </c>
      <c r="AN5" s="52"/>
      <c r="AP5" s="52"/>
      <c r="AR5" s="44" t="b">
        <v>1</v>
      </c>
      <c r="AS5" s="44"/>
      <c r="AT5" s="44"/>
      <c r="AU5" s="44"/>
      <c r="AV5" s="44"/>
      <c r="AW5" s="44" t="b">
        <v>1</v>
      </c>
      <c r="AX5" s="44">
        <f t="shared" si="9"/>
        <v>2</v>
      </c>
      <c r="AY5" s="44" t="b">
        <f t="shared" si="10"/>
        <v>0</v>
      </c>
      <c r="AZ5" s="44" t="b">
        <f t="shared" si="11"/>
        <v>0</v>
      </c>
    </row>
    <row r="6" customHeight="1" spans="1:52">
      <c r="A6" s="44" t="s">
        <v>141</v>
      </c>
      <c r="B6" s="44" t="s">
        <v>138</v>
      </c>
      <c r="C6" s="44" t="s">
        <v>142</v>
      </c>
      <c r="D6" s="44">
        <f>角色!D6+VLOOKUP($V6,弧盘!$A$2:$C$51,弧盘!$B$1,FALSE)</f>
        <v>816.35</v>
      </c>
      <c r="E6" s="44">
        <f>角色!L6+VLOOKUP($V6,弧盘!$A$2:$AF$51,弧盘!$I$1,FALSE)+VLOOKUP($X6,卡带!$A$2:$V$14,卡带!$C$1,FALSE)+IF($AB6="攻击",中间!$M$7,0)+IF($AD6="攻击",$AF6*$AC6%,0)+AN6</f>
        <v>0.1875</v>
      </c>
      <c r="F6" s="47">
        <f>AM6+角色!M6+中间!$L$20</f>
        <v>420</v>
      </c>
      <c r="G6" s="47">
        <f t="shared" si="4"/>
        <v>1389.415625</v>
      </c>
      <c r="H6" s="44">
        <f>角色!F6</f>
        <v>16362</v>
      </c>
      <c r="I6" s="44">
        <f>角色!N6+VLOOKUP($V6,弧盘!$A$2:$AF$51,弧盘!$J$1,FALSE)+VLOOKUP($X6,卡带!$A$2:$V$14,卡带!$D$1,FALSE)+IF($AB6="生命",中间!$M$8,0)+IF($AD6="生命",$AF6*$AC6%,0)+AN6</f>
        <v>1.2625</v>
      </c>
      <c r="J6" s="47">
        <f>AO6+角色!O6+中间!$L$21</f>
        <v>5200</v>
      </c>
      <c r="K6" s="47">
        <f t="shared" si="5"/>
        <v>42219.025</v>
      </c>
      <c r="L6" s="44">
        <f>角色!H6</f>
        <v>824.16</v>
      </c>
      <c r="M6" s="44">
        <f>角色!P6+VLOOKUP($V6,弧盘!$A$2:$AF$51,弧盘!$K$1,FALSE)+VLOOKUP($X6,卡带!$A$2:$V$14,卡带!$E$1,FALSE)+IF($AB6="防御",中间!$M$9,0)+IF($AD6="防御",$AF6*$AC6%,0)+AR6</f>
        <v>1</v>
      </c>
      <c r="N6" s="47">
        <f>AQ6+角色!Q6</f>
        <v>0</v>
      </c>
      <c r="O6" s="47">
        <f t="shared" si="6"/>
        <v>1648.32</v>
      </c>
      <c r="P6" s="48">
        <f>角色!J6+VLOOKUP($V6,弧盘!$A$2:$AF$51,弧盘!$G$1,FALSE)+IF(AB6="暴击",中间!$M$3,0)+AH6+IF($AD6="暴击",$AC6%*$AF6,0)</f>
        <v>0.2</v>
      </c>
      <c r="Q6" s="48">
        <f>角色!K6+VLOOKUP($V6,弧盘!$A$2:$AF$51,弧盘!$H$1,FALSE)+IF(AB6="暴伤",中间!$M$4,0)+IF($AD6="暴伤",$AC6%*$AF6,0)+AI6</f>
        <v>0.8</v>
      </c>
      <c r="R6" s="48">
        <f>角色!X6+VLOOKUP($X6,卡带!A$3:B$15,卡带!$B$1,FALSE)+IF(AB6="属伤",中间!$M$2,0)+IF($AD6="属伤",$AC6%*$AF6,0)</f>
        <v>0</v>
      </c>
      <c r="S6" s="48">
        <f>角色!T6+VLOOKUP($V6,弧盘!$A$2:$AF$51,弧盘!$L$1,FALSE)+VLOOKUP($X6,卡带!A$3:F$15,卡带!$F$1,FALSE)+IF($AD6="充能",$AC6%*$AF6,0)</f>
        <v>0</v>
      </c>
      <c r="T6" s="49">
        <f>角色!U6+VLOOKUP($V6,弧盘!$A$2:$AF$51,弧盘!M$1,FALSE)+VLOOKUP($X6,卡带!$A$2:$V$14,卡带!G$1,FALSE)+IF($AB6="精通",中间!$M$5,0)+IF($AD6="精通",$AC6%*$AF6,0)+AJ6</f>
        <v>0</v>
      </c>
      <c r="U6" s="49">
        <f>角色!V6+VLOOKUP($V6,弧盘!$A$2:$AF$51,弧盘!N$1,FALSE)+VLOOKUP($X6,卡带!$A$2:$V$14,卡带!H$1,FALSE)+IF($AB6="倾陷",中间!$M$6,0)+AK6</f>
        <v>0</v>
      </c>
      <c r="V6" s="50" t="s">
        <v>143</v>
      </c>
      <c r="W6" s="46" t="str">
        <f>IFERROR(VLOOKUP(V6,弧盘!$A$2:O56,弧盘!$O$1,FALSE),"")</f>
        <v>e后治疗效率20%</v>
      </c>
      <c r="X6" s="50" t="s">
        <v>144</v>
      </c>
      <c r="Y6" s="46" t="str">
        <f>IFERROR(VLOOKUP(X6,卡带!$A$2:$J$14,卡带!$J$1,FALSE),"")</f>
        <v>10生命；20%治疗效率</v>
      </c>
      <c r="Z6" s="45">
        <v>10</v>
      </c>
      <c r="AA6" s="45">
        <f t="shared" si="7"/>
        <v>2.15892499727279</v>
      </c>
      <c r="AB6" s="51" t="s">
        <v>145</v>
      </c>
      <c r="AC6" s="44">
        <v>10</v>
      </c>
      <c r="AD6" s="44" t="s">
        <v>146</v>
      </c>
      <c r="AE6" s="44" t="str">
        <f t="shared" si="12"/>
        <v>10生命</v>
      </c>
      <c r="AF6" s="51">
        <v>6</v>
      </c>
      <c r="AG6" s="52">
        <v>0.15</v>
      </c>
      <c r="AH6" s="52">
        <v>0.15</v>
      </c>
      <c r="AI6" s="52">
        <v>0.3</v>
      </c>
      <c r="AL6" s="48"/>
      <c r="AN6" s="52">
        <f>15*1.25%</f>
        <v>0.1875</v>
      </c>
      <c r="AP6" s="52"/>
      <c r="AR6" s="54" t="b">
        <v>1</v>
      </c>
      <c r="AS6" s="54" t="b">
        <v>1</v>
      </c>
      <c r="AT6" s="54" t="b">
        <v>1</v>
      </c>
      <c r="AU6" s="54" t="b">
        <v>1</v>
      </c>
      <c r="AV6" s="54" t="b">
        <v>1</v>
      </c>
      <c r="AW6" s="54" t="b">
        <v>1</v>
      </c>
      <c r="AX6" s="44">
        <f t="shared" si="9"/>
        <v>6</v>
      </c>
      <c r="AY6" s="44" t="b">
        <f t="shared" si="10"/>
        <v>1</v>
      </c>
      <c r="AZ6" s="44" t="b">
        <f t="shared" si="11"/>
        <v>1</v>
      </c>
    </row>
    <row r="7" customHeight="1" spans="1:52">
      <c r="A7" s="44" t="s">
        <v>12</v>
      </c>
      <c r="B7" s="44" t="str">
        <f>角色!B7</f>
        <v>灵</v>
      </c>
      <c r="C7" s="44" t="s">
        <v>147</v>
      </c>
      <c r="D7" s="44">
        <f>角色!D7+VLOOKUP($V7,弧盘!$A$2:$C$51,弧盘!$B$1,FALSE)</f>
        <v>1206</v>
      </c>
      <c r="E7" s="44">
        <f>角色!L7+VLOOKUP($V7,弧盘!$A$2:$AF$51,弧盘!$I$1,FALSE)+VLOOKUP($X7,卡带!$A$2:$V$14,卡带!$C$1,FALSE)+IF($AB7="攻击",中间!$M$7,0)+IF($AD7="攻击",$AF7*$AC7%,0)+AL7</f>
        <v>0.1875</v>
      </c>
      <c r="F7" s="47">
        <f>AM7+角色!M7+中间!$L$20</f>
        <v>420</v>
      </c>
      <c r="G7" s="47">
        <f t="shared" si="4"/>
        <v>1852.125</v>
      </c>
      <c r="H7" s="44">
        <f>角色!F7</f>
        <v>15998.4</v>
      </c>
      <c r="I7" s="44">
        <f>角色!N7+VLOOKUP($V7,弧盘!$A$2:$AF$51,弧盘!$J$1,FALSE)+VLOOKUP($X7,卡带!$A$2:$V$14,卡带!$D$1,FALSE)+IF($AB7="生命",中间!$M$8,0)+IF($AD7="生命",$AF7*$AC7%,0)+AN7</f>
        <v>0</v>
      </c>
      <c r="J7" s="47">
        <f>AO7+角色!O7+中间!$L$21</f>
        <v>5200</v>
      </c>
      <c r="K7" s="47">
        <f t="shared" si="5"/>
        <v>21198.4</v>
      </c>
      <c r="L7" s="44">
        <f>角色!H7</f>
        <v>909</v>
      </c>
      <c r="M7" s="44">
        <f>角色!P7+VLOOKUP($V7,弧盘!$A$2:$AF$51,弧盘!$K$1,FALSE)+VLOOKUP($X7,卡带!$A$2:$V$14,卡带!$E$1,FALSE)+IF($AB7="防御",中间!$M$9,0)+IF($AD7="防御",$AF7*$AC7%,0)+AR7</f>
        <v>0</v>
      </c>
      <c r="N7" s="47">
        <f>AQ7+角色!Q7</f>
        <v>0</v>
      </c>
      <c r="O7" s="47">
        <f t="shared" si="6"/>
        <v>909</v>
      </c>
      <c r="P7" s="48">
        <f>角色!J7+VLOOKUP($V7,弧盘!$A$2:$AF$51,弧盘!$G$1,FALSE)+IF(AB7="暴击",中间!$M$3,0)+AH7+IF($AD7="暴击",$AC7%*$AF7,0)</f>
        <v>0.69</v>
      </c>
      <c r="Q7" s="48">
        <f>角色!K7+VLOOKUP($V7,弧盘!$A$2:$AF$51,弧盘!$H$1,FALSE)+IF(AB7="暴伤",中间!$M$4,0)+IF($AD7="暴伤",$AC7%*$AF7,0)+AI7</f>
        <v>0.8</v>
      </c>
      <c r="R7" s="48">
        <f>角色!X7+VLOOKUP($X7,卡带!A$3:B$15,卡带!$B$1,FALSE)+IF(AB7="属伤",中间!$M$2,0)+IF($AD7="属伤",$AC7%*$AF7,0)</f>
        <v>0.475</v>
      </c>
      <c r="S7" s="48">
        <f>角色!T7+VLOOKUP($V7,弧盘!$A$2:$AF$51,弧盘!$L$1,FALSE)+VLOOKUP($X7,卡带!A$3:F$15,卡带!$F$1,FALSE)+IF($AD7="充能",$AC7%*$AF7,0)</f>
        <v>0</v>
      </c>
      <c r="T7" s="49">
        <f>角色!U7+VLOOKUP($V7,弧盘!$A$2:$AF$51,弧盘!M$1,FALSE)+VLOOKUP($X7,卡带!$A$2:$V$14,卡带!G$1,FALSE)+IF($AB7="精通",中间!$M$5,0)+IF($AD7="精通",$AC7%*$AF7,0)+AJ7</f>
        <v>0</v>
      </c>
      <c r="U7" s="49">
        <f>角色!V7+VLOOKUP($V7,弧盘!$A$2:$AF$51,弧盘!N$1,FALSE)+VLOOKUP($X7,卡带!$A$2:$V$14,卡带!H$1,FALSE)+IF($AB7="倾陷",中间!$M$6,0)+AK7</f>
        <v>0</v>
      </c>
      <c r="V7" s="50" t="s">
        <v>148</v>
      </c>
      <c r="W7" s="46" t="str">
        <f>IFERROR(VLOOKUP(V7,弧盘!$A$2:O56,弧盘!$O$1,FALSE),"")</f>
        <v>15攻击；eq后普攻增伤15%，15秒2层；调弧(eq)：10对boss增伤，10秒</v>
      </c>
      <c r="X7" s="50" t="s">
        <v>149</v>
      </c>
      <c r="Y7" s="46" t="str">
        <f>IFERROR(VLOOKUP(X7,卡带!$A$2:$J$14,卡带!$J$1,FALSE),"")</f>
        <v>10灵伤；8暴伤*7，10秒</v>
      </c>
      <c r="Z7" s="45">
        <v>10</v>
      </c>
      <c r="AA7" s="45">
        <f t="shared" si="7"/>
        <v>1.99900462710443</v>
      </c>
      <c r="AB7" s="51" t="s">
        <v>136</v>
      </c>
      <c r="AC7" s="44">
        <v>5</v>
      </c>
      <c r="AD7" s="44" t="s">
        <v>135</v>
      </c>
      <c r="AE7" s="44" t="str">
        <f t="shared" si="12"/>
        <v>5暴击</v>
      </c>
      <c r="AF7" s="55">
        <v>5</v>
      </c>
      <c r="AG7" s="52">
        <v>0.15</v>
      </c>
      <c r="AH7" s="52">
        <v>0.15</v>
      </c>
      <c r="AI7" s="52">
        <v>0.3</v>
      </c>
      <c r="AL7" s="48">
        <f t="shared" ref="AL7:AL10" si="13">15*1.25%</f>
        <v>0.1875</v>
      </c>
      <c r="AN7" s="52"/>
      <c r="AP7" s="52"/>
      <c r="AR7" s="53"/>
      <c r="AS7" s="53"/>
      <c r="AT7" s="53"/>
      <c r="AU7" s="44"/>
      <c r="AV7" s="44"/>
      <c r="AW7" s="44"/>
      <c r="AX7" s="44">
        <f t="shared" si="9"/>
        <v>0</v>
      </c>
      <c r="AY7" s="44" t="b">
        <f t="shared" si="10"/>
        <v>0</v>
      </c>
      <c r="AZ7" s="44" t="b">
        <f t="shared" si="11"/>
        <v>0</v>
      </c>
    </row>
    <row r="8" customHeight="1" spans="1:52">
      <c r="A8" s="44" t="s">
        <v>26</v>
      </c>
      <c r="B8" s="44" t="str">
        <f>角色!B8</f>
        <v>灵</v>
      </c>
      <c r="C8" s="44" t="s">
        <v>128</v>
      </c>
      <c r="D8" s="44">
        <f>角色!D8+VLOOKUP($V8,弧盘!$A$2:$C$51,弧盘!$B$1,FALSE)</f>
        <v>1221.9</v>
      </c>
      <c r="E8" s="44">
        <f>角色!L8+VLOOKUP($V8,弧盘!$A$2:$AF$51,弧盘!$I$1,FALSE)+VLOOKUP($X8,卡带!$A$2:$V$14,卡带!$C$1,FALSE)+IF($AB8="攻击",中间!$M$7,0)+IF($AD8="攻击",$AF8*$AC8%,0)+AL8</f>
        <v>0.4875</v>
      </c>
      <c r="F8" s="47">
        <f>AM8+角色!M8+中间!$L$20</f>
        <v>420</v>
      </c>
      <c r="G8" s="47">
        <f t="shared" si="4"/>
        <v>2237.57625</v>
      </c>
      <c r="H8" s="44">
        <f>角色!F8</f>
        <v>15634.8</v>
      </c>
      <c r="I8" s="44">
        <f>角色!N8+VLOOKUP($V8,弧盘!$A$2:$AF$51,弧盘!$J$1,FALSE)+VLOOKUP($X8,卡带!$A$2:$V$14,卡带!$D$1,FALSE)+IF($AB8="生命",中间!$M$8,0)+IF($AD8="生命",$AF8*$AC8%,0)+AN8</f>
        <v>0</v>
      </c>
      <c r="J8" s="47">
        <f>AO8+角色!O8+中间!$L$21</f>
        <v>5200</v>
      </c>
      <c r="K8" s="47">
        <f t="shared" si="5"/>
        <v>20834.8</v>
      </c>
      <c r="L8" s="44">
        <f>角色!H8</f>
        <v>909</v>
      </c>
      <c r="M8" s="44">
        <f>角色!P8+VLOOKUP($V8,弧盘!$A$2:$AF$51,弧盘!$K$1,FALSE)+VLOOKUP($X8,卡带!$A$2:$V$14,卡带!$E$1,FALSE)+IF($AB8="防御",中间!$M$9,0)+IF($AD8="防御",$AF8*$AC8%,0)+AR8</f>
        <v>0</v>
      </c>
      <c r="N8" s="47">
        <f>AQ8+角色!Q8</f>
        <v>0</v>
      </c>
      <c r="O8" s="47">
        <f t="shared" si="6"/>
        <v>909</v>
      </c>
      <c r="P8" s="48">
        <f>角色!J8+VLOOKUP($V8,弧盘!$A$2:$AF$51,弧盘!$G$1,FALSE)+IF(AB8="暴击",中间!$M$3,0)+AH8+IF($AD8="暴击",$AC8%*$AF8,0)</f>
        <v>0.75</v>
      </c>
      <c r="Q8" s="48">
        <f>角色!K8+VLOOKUP($V8,弧盘!$A$2:$AF$51,弧盘!$H$1,FALSE)+IF(AB8="暴伤",中间!$M$4,0)+IF($AD8="暴伤",$AC8%*$AF8,0)+AI8</f>
        <v>0.8</v>
      </c>
      <c r="R8" s="48">
        <f>角色!X8+VLOOKUP($X8,卡带!A$3:B$15,卡带!$B$1,FALSE)+IF(AB8="属伤",中间!$M$2,0)+IF($AD8="属伤",$AC8%*$AF8,0)</f>
        <v>0.1</v>
      </c>
      <c r="S8" s="48">
        <f>角色!T8+VLOOKUP($V8,弧盘!$A$2:$AF$51,弧盘!$L$1,FALSE)+VLOOKUP($X8,卡带!A$3:F$15,卡带!$F$1,FALSE)+IF($AD8="充能",$AC8%*$AF8,0)</f>
        <v>0</v>
      </c>
      <c r="T8" s="49">
        <f>角色!U8+VLOOKUP($V8,弧盘!$A$2:$AF$51,弧盘!M$1,FALSE)+VLOOKUP($X8,卡带!$A$2:$V$14,卡带!G$1,FALSE)+IF($AB8="精通",中间!$M$5,0)+IF($AD8="精通",$AC8%*$AF8,0)+AJ8</f>
        <v>0</v>
      </c>
      <c r="U8" s="49">
        <f>角色!V8+VLOOKUP($V8,弧盘!$A$2:$AF$51,弧盘!N$1,FALSE)+VLOOKUP($X8,卡带!$A$2:$V$14,卡带!H$1,FALSE)+IF($AB8="倾陷",中间!$M$6,0)+AK8</f>
        <v>0</v>
      </c>
      <c r="V8" s="50" t="s">
        <v>150</v>
      </c>
      <c r="W8" s="46" t="str">
        <f>IFERROR(VLOOKUP(V8,弧盘!$A$2:O57,弧盘!$O$1,FALSE),"")</f>
        <v>15灵伤；10附着伤，q后改20附着伤</v>
      </c>
      <c r="X8" s="50" t="s">
        <v>149</v>
      </c>
      <c r="Y8" s="46" t="str">
        <f>IFERROR(VLOOKUP(X8,卡带!$A$2:$J$14,卡带!$J$1,FALSE),"")</f>
        <v>10灵伤；8暴伤*7，10秒</v>
      </c>
      <c r="Z8" s="45">
        <v>10</v>
      </c>
      <c r="AA8" s="45">
        <f t="shared" si="7"/>
        <v>1.99900462710443</v>
      </c>
      <c r="AB8" s="51" t="s">
        <v>135</v>
      </c>
      <c r="AC8" s="44">
        <v>5</v>
      </c>
      <c r="AD8" s="44" t="s">
        <v>135</v>
      </c>
      <c r="AE8" s="44" t="str">
        <f t="shared" si="12"/>
        <v>5暴击</v>
      </c>
      <c r="AF8" s="55">
        <v>5</v>
      </c>
      <c r="AG8" s="52">
        <v>0.15</v>
      </c>
      <c r="AH8" s="52">
        <v>0.15</v>
      </c>
      <c r="AI8" s="52">
        <v>0.3</v>
      </c>
      <c r="AL8" s="48">
        <f t="shared" si="13"/>
        <v>0.1875</v>
      </c>
      <c r="AN8" s="52"/>
      <c r="AP8" s="52"/>
      <c r="AR8" s="54"/>
      <c r="AS8" s="44" t="b">
        <v>1</v>
      </c>
      <c r="AT8" s="54"/>
      <c r="AU8" s="54"/>
      <c r="AV8" s="54"/>
      <c r="AW8" s="54"/>
      <c r="AX8" s="44">
        <f t="shared" si="9"/>
        <v>1</v>
      </c>
      <c r="AY8" s="44" t="b">
        <f t="shared" si="10"/>
        <v>0</v>
      </c>
      <c r="AZ8" s="44" t="b">
        <f t="shared" si="11"/>
        <v>0</v>
      </c>
    </row>
    <row r="9" customHeight="1" spans="1:52">
      <c r="A9" s="44" t="s">
        <v>151</v>
      </c>
      <c r="B9" s="44" t="str">
        <f>角色!B9</f>
        <v>灵</v>
      </c>
      <c r="C9" s="44" t="s">
        <v>142</v>
      </c>
      <c r="D9" s="44">
        <f>角色!D9+VLOOKUP($V9,弧盘!$A$2:$C$51,弧盘!$B$1,FALSE)</f>
        <v>1071.25</v>
      </c>
      <c r="E9" s="44">
        <f>角色!L9+VLOOKUP($V9,弧盘!$A$2:$AF$51,弧盘!$I$1,FALSE)+VLOOKUP($X9,卡带!$A$2:$V$14,卡带!$C$1,FALSE)+IF($AB9="攻击",中间!$M$7,0)+IF($AD9="攻击",$AF9*$AC9%,0)+AL9</f>
        <v>0.4375</v>
      </c>
      <c r="F9" s="47">
        <f>AM9+角色!M9+中间!$L$20</f>
        <v>420</v>
      </c>
      <c r="G9" s="47">
        <f t="shared" si="4"/>
        <v>1959.921875</v>
      </c>
      <c r="H9" s="44">
        <f>角色!F9</f>
        <v>12120</v>
      </c>
      <c r="I9" s="44">
        <f>角色!N9+VLOOKUP($V9,弧盘!$A$2:$AF$51,弧盘!$J$1,FALSE)+VLOOKUP($X9,卡带!$A$2:$V$14,卡带!$D$1,FALSE)+IF($AB9="生命",中间!$M$8,0)+IF($AD9="生命",$AF9*$AC9%,0)+AN9</f>
        <v>0</v>
      </c>
      <c r="J9" s="47">
        <f>AO9+角色!O9+中间!$L$21</f>
        <v>5200</v>
      </c>
      <c r="K9" s="47">
        <f t="shared" si="5"/>
        <v>17320</v>
      </c>
      <c r="L9" s="44">
        <f>角色!H9</f>
        <v>727.2</v>
      </c>
      <c r="M9" s="44">
        <f>角色!P9+VLOOKUP($V9,弧盘!$A$2:$AF$51,弧盘!$K$1,FALSE)+VLOOKUP($X9,卡带!$A$2:$V$14,卡带!$E$1,FALSE)+IF($AB9="防御",中间!$M$9,0)+IF($AD9="防御",$AF9*$AC9%,0)+AR9</f>
        <v>1.2</v>
      </c>
      <c r="N9" s="47">
        <f>AQ9+角色!Q9</f>
        <v>0</v>
      </c>
      <c r="O9" s="47">
        <f t="shared" si="6"/>
        <v>1599.84</v>
      </c>
      <c r="P9" s="48">
        <f>角色!J9+VLOOKUP($V9,弧盘!$A$2:$AF$51,弧盘!$G$1,FALSE)+IF(AB9="暴击",中间!$M$3,0)+AH9+IF($AD9="暴击",$AC9%*$AF9,0)</f>
        <v>0.64</v>
      </c>
      <c r="Q9" s="48">
        <f>角色!K9+VLOOKUP($V9,弧盘!$A$2:$AF$51,弧盘!$H$1,FALSE)+IF(AB9="暴伤",中间!$M$4,0)+IF($AD9="暴伤",$AC9%*$AF9,0)+AI9</f>
        <v>1.05</v>
      </c>
      <c r="R9" s="48">
        <f>角色!X9+VLOOKUP($X9,卡带!A$3:B$15,卡带!$B$1,FALSE)+IF(AB9="属伤",中间!$M$2,0)+IF($AD9="属伤",$AC9%*$AF9,0)</f>
        <v>0.475</v>
      </c>
      <c r="S9" s="48">
        <f>角色!T9+VLOOKUP($V9,弧盘!$A$2:$AF$51,弧盘!$L$1,FALSE)+VLOOKUP($X9,卡带!A$3:F$15,卡带!$F$1,FALSE)+IF($AD9="充能",$AC9%*$AF9,0)</f>
        <v>0</v>
      </c>
      <c r="T9" s="49">
        <f>角色!U9+VLOOKUP($V9,弧盘!$A$2:$AF$51,弧盘!M$1,FALSE)+VLOOKUP($X9,卡带!$A$2:$V$14,卡带!G$1,FALSE)+IF($AB9="精通",中间!$M$5,0)+IF($AD9="精通",$AC9%*$AF9,0)+AJ9</f>
        <v>0</v>
      </c>
      <c r="U9" s="49">
        <f>角色!V9+VLOOKUP($V9,弧盘!$A$2:$AF$51,弧盘!N$1,FALSE)+VLOOKUP($X9,卡带!$A$2:$V$14,卡带!H$1,FALSE)+IF($AB9="倾陷",中间!$M$6,0)+AK9</f>
        <v>0</v>
      </c>
      <c r="V9" s="50" t="s">
        <v>152</v>
      </c>
      <c r="W9" s="46" t="str">
        <f>IFERROR(VLOOKUP(V9,弧盘!$A$2:O58,弧盘!$O$1,FALSE),"")</f>
        <v>EQ35灵伤</v>
      </c>
      <c r="X9" s="50" t="s">
        <v>149</v>
      </c>
      <c r="Y9" s="46" t="str">
        <f>IFERROR(VLOOKUP(X9,卡带!$A$2:$J$14,卡带!$J$1,FALSE),"")</f>
        <v>10灵伤；8暴伤*7，10秒</v>
      </c>
      <c r="Z9" s="45">
        <v>10</v>
      </c>
      <c r="AA9" s="45">
        <f t="shared" si="7"/>
        <v>2.15892499727279</v>
      </c>
      <c r="AB9" s="51" t="s">
        <v>136</v>
      </c>
      <c r="AC9" s="44">
        <v>8</v>
      </c>
      <c r="AD9" s="44" t="s">
        <v>135</v>
      </c>
      <c r="AE9" s="44" t="str">
        <f t="shared" si="12"/>
        <v>8暴击</v>
      </c>
      <c r="AF9" s="51">
        <v>4</v>
      </c>
      <c r="AG9" s="52">
        <v>0.15</v>
      </c>
      <c r="AH9" s="52">
        <v>0.15</v>
      </c>
      <c r="AI9" s="52">
        <v>0.3</v>
      </c>
      <c r="AL9" s="48">
        <f t="shared" si="13"/>
        <v>0.1875</v>
      </c>
      <c r="AN9" s="52"/>
      <c r="AP9" s="52"/>
      <c r="AR9" s="53" t="b">
        <v>1</v>
      </c>
      <c r="AS9" s="44" t="b">
        <v>1</v>
      </c>
      <c r="AT9" s="53" t="b">
        <v>1</v>
      </c>
      <c r="AU9" s="44" t="b">
        <v>1</v>
      </c>
      <c r="AV9" s="44" t="b">
        <v>1</v>
      </c>
      <c r="AW9" s="53" t="b">
        <v>1</v>
      </c>
      <c r="AX9" s="44">
        <f t="shared" si="9"/>
        <v>6</v>
      </c>
      <c r="AY9" s="44" t="b">
        <f t="shared" si="10"/>
        <v>1</v>
      </c>
      <c r="AZ9" s="44" t="b">
        <f t="shared" si="11"/>
        <v>1</v>
      </c>
    </row>
    <row r="10" customHeight="1" spans="1:52">
      <c r="A10" s="44" t="s">
        <v>153</v>
      </c>
      <c r="B10" s="44" t="str">
        <f>角色!B10</f>
        <v>咒</v>
      </c>
      <c r="C10" s="44" t="s">
        <v>154</v>
      </c>
      <c r="D10" s="44">
        <f>角色!D10+VLOOKUP($V10,弧盘!$A$2:$C$51,弧盘!$B$1,FALSE)</f>
        <v>1309.95</v>
      </c>
      <c r="E10" s="44">
        <f>角色!L10+VLOOKUP($V10,弧盘!$A$2:$AF$51,弧盘!$I$1,FALSE)+VLOOKUP($X10,卡带!$A$2:$V$14,卡带!$C$1,FALSE)+IF($AB10="攻击",中间!$M$7,0)+IF($AD10="攻击",$AF10*$AC10%,0)+AL10</f>
        <v>0.1875</v>
      </c>
      <c r="F10" s="47">
        <f>AM10+角色!M10+中间!$L$20</f>
        <v>420</v>
      </c>
      <c r="G10" s="47">
        <f t="shared" si="4"/>
        <v>1975.565625</v>
      </c>
      <c r="H10" s="44">
        <f>角色!F10</f>
        <v>16604.4</v>
      </c>
      <c r="I10" s="44">
        <f>角色!N10+VLOOKUP($V10,弧盘!$A$2:$AF$51,弧盘!$J$1,FALSE)+VLOOKUP($X10,卡带!$A$2:$V$14,卡带!$D$1,FALSE)+IF($AB10="生命",中间!$M$8,0)+IF($AD10="生命",$AF10*$AC10%,0)+AN10</f>
        <v>0</v>
      </c>
      <c r="J10" s="47">
        <f>AO10+角色!O10+中间!$L$21</f>
        <v>5200</v>
      </c>
      <c r="K10" s="47">
        <f t="shared" si="5"/>
        <v>21804.4</v>
      </c>
      <c r="L10" s="44">
        <f>角色!H10</f>
        <v>799.92</v>
      </c>
      <c r="M10" s="44">
        <f>角色!P10+VLOOKUP($V10,弧盘!$A$2:$AF$51,弧盘!$K$1,FALSE)+VLOOKUP($X10,卡带!$A$2:$V$14,卡带!$E$1,FALSE)+IF($AB10="防御",中间!$M$9,0)+IF($AD10="防御",$AF10*$AC10%,0)+AR10</f>
        <v>0</v>
      </c>
      <c r="N10" s="47">
        <f>AQ10+角色!Q10</f>
        <v>0</v>
      </c>
      <c r="O10" s="47">
        <f t="shared" si="6"/>
        <v>799.92</v>
      </c>
      <c r="P10" s="48">
        <f>角色!J10+VLOOKUP($V10,弧盘!$A$2:$AF$51,弧盘!$G$1,FALSE)+IF(AB10="暴击",中间!$M$3,0)+AH10+IF($AD10="暴击",$AC10%*$AF10,0)</f>
        <v>0.64</v>
      </c>
      <c r="Q10" s="48">
        <f>角色!K10+VLOOKUP($V10,弧盘!$A$2:$AF$51,弧盘!$H$1,FALSE)+IF(AB10="暴伤",中间!$M$4,0)+IF($AD10="暴伤",$AC10%*$AF10,0)+AI10</f>
        <v>0.8</v>
      </c>
      <c r="R10" s="48">
        <f>角色!X10+VLOOKUP($X10,卡带!A$3:B$15,卡带!$B$1,FALSE)+IF(AB10="属伤",中间!$M$2,0)+IF($AD10="属伤",$AC10%*$AF10,0)</f>
        <v>0.475</v>
      </c>
      <c r="S10" s="48">
        <f>角色!T10+VLOOKUP($V10,弧盘!$A$2:$AF$51,弧盘!$L$1,FALSE)+VLOOKUP($X10,卡带!A$3:F$15,卡带!$F$1,FALSE)+IF($AD10="充能",$AC10%*$AF10,0)</f>
        <v>0</v>
      </c>
      <c r="T10" s="49">
        <f>角色!U10+VLOOKUP($V10,弧盘!$A$2:$AF$51,弧盘!M$1,FALSE)+VLOOKUP($X10,卡带!$A$2:$V$14,卡带!G$1,FALSE)+IF($AB10="精通",中间!$M$5,0)+IF($AD10="精通",$AC10%*$AF10,0)+AJ10</f>
        <v>0</v>
      </c>
      <c r="U10" s="49">
        <f>角色!V10+VLOOKUP($V10,弧盘!$A$2:$AF$51,弧盘!N$1,FALSE)+VLOOKUP($X10,卡带!$A$2:$V$14,卡带!H$1,FALSE)+IF($AB10="倾陷",中间!$M$6,0)+AK10</f>
        <v>0</v>
      </c>
      <c r="V10" s="50" t="s">
        <v>155</v>
      </c>
      <c r="W10" s="46" t="str">
        <f>IFERROR(VLOOKUP(V10,弧盘!$A$2:O59,弧盘!$O$1,FALSE),"")</f>
        <v>扣血后12暴伤*4，5秒；调弧120倍率</v>
      </c>
      <c r="X10" s="50" t="s">
        <v>156</v>
      </c>
      <c r="Y10" s="46" t="str">
        <f>IFERROR(VLOOKUP(X10,卡带!$A$2:$J$14,卡带!$J$1,FALSE),"")</f>
        <v>10咒伤；6攻击*6，10秒</v>
      </c>
      <c r="Z10" s="45">
        <v>10</v>
      </c>
      <c r="AA10" s="45">
        <f t="shared" si="7"/>
        <v>1.99900462710443</v>
      </c>
      <c r="AB10" s="51" t="s">
        <v>136</v>
      </c>
      <c r="AC10" s="44">
        <v>8</v>
      </c>
      <c r="AD10" s="44" t="s">
        <v>135</v>
      </c>
      <c r="AE10" s="44" t="str">
        <f t="shared" si="12"/>
        <v>8暴击</v>
      </c>
      <c r="AF10" s="51">
        <v>4</v>
      </c>
      <c r="AG10" s="52">
        <v>0.15</v>
      </c>
      <c r="AH10" s="52">
        <v>0.15</v>
      </c>
      <c r="AI10" s="52">
        <v>0.3</v>
      </c>
      <c r="AL10" s="48">
        <f t="shared" si="13"/>
        <v>0.1875</v>
      </c>
      <c r="AN10" s="52"/>
      <c r="AP10" s="52"/>
      <c r="AR10" s="54"/>
      <c r="AS10" s="54"/>
      <c r="AT10" s="54"/>
      <c r="AU10" s="54"/>
      <c r="AV10" s="54"/>
      <c r="AW10" s="54"/>
      <c r="AX10" s="44">
        <f t="shared" si="9"/>
        <v>0</v>
      </c>
      <c r="AY10" s="44" t="b">
        <f t="shared" si="10"/>
        <v>0</v>
      </c>
      <c r="AZ10" s="44" t="b">
        <f t="shared" si="11"/>
        <v>0</v>
      </c>
    </row>
    <row r="11" customHeight="1" spans="1:52">
      <c r="A11" s="44" t="s">
        <v>157</v>
      </c>
      <c r="B11" s="44" t="str">
        <f>角色!B11</f>
        <v>咒</v>
      </c>
      <c r="C11" s="44" t="s">
        <v>139</v>
      </c>
      <c r="D11" s="44">
        <f>角色!D11+VLOOKUP($V11,弧盘!$A$2:$C$51,弧盘!$B$1,FALSE)</f>
        <v>1094.1</v>
      </c>
      <c r="E11" s="44">
        <f>角色!L11+VLOOKUP($V11,弧盘!$A$2:$AF$51,弧盘!$I$1,FALSE)+VLOOKUP($X11,卡带!$A$2:$V$14,卡带!$C$1,FALSE)+IF($AB11="攻击",中间!$M$7,0)+IF($AD11="攻击",$AF11*$AC11%,0)+AL11</f>
        <v>0.575</v>
      </c>
      <c r="F11" s="47">
        <f>AM11+角色!M11+中间!$L$20</f>
        <v>420</v>
      </c>
      <c r="G11" s="47">
        <f t="shared" si="4"/>
        <v>2143.2075</v>
      </c>
      <c r="H11" s="44">
        <f>角色!F11</f>
        <v>16483.2</v>
      </c>
      <c r="I11" s="44">
        <f>角色!N11+VLOOKUP($V11,弧盘!$A$2:$AF$51,弧盘!$J$1,FALSE)+VLOOKUP($X11,卡带!$A$2:$V$14,卡带!$D$1,FALSE)+IF($AB11="生命",中间!$M$8,0)+IF($AD11="生命",$AF11*$AC11%,0)+AN11</f>
        <v>0</v>
      </c>
      <c r="J11" s="47">
        <f>AO11+角色!O11+中间!$L$21</f>
        <v>5200</v>
      </c>
      <c r="K11" s="47">
        <f t="shared" si="5"/>
        <v>21683.2</v>
      </c>
      <c r="L11" s="44">
        <f>角色!H11</f>
        <v>909</v>
      </c>
      <c r="M11" s="44">
        <f>角色!P11+VLOOKUP($V11,弧盘!$A$2:$AF$51,弧盘!$K$1,FALSE)+VLOOKUP($X11,卡带!$A$2:$V$14,卡带!$E$1,FALSE)+IF($AB11="防御",中间!$M$9,0)+IF($AD11="防御",$AF11*$AC11%,0)+AR11</f>
        <v>0</v>
      </c>
      <c r="N11" s="47">
        <f>AQ11+角色!Q11</f>
        <v>0</v>
      </c>
      <c r="O11" s="47">
        <f t="shared" si="6"/>
        <v>909</v>
      </c>
      <c r="P11" s="48">
        <f>角色!J11+VLOOKUP($V11,弧盘!$A$2:$AF$51,弧盘!$G$1,FALSE)+IF(AB11="暴击",中间!$M$3,0)+AH11+IF($AD11="暴击",$AC11%*$AF11,0)</f>
        <v>0.15</v>
      </c>
      <c r="Q11" s="48">
        <f>角色!K11+VLOOKUP($V11,弧盘!$A$2:$AF$51,弧盘!$H$1,FALSE)+IF(AB11="暴伤",中间!$M$4,0)+IF($AD11="暴伤",$AC11%*$AF11,0)+AI11</f>
        <v>0.7</v>
      </c>
      <c r="R11" s="48">
        <f>角色!X11+VLOOKUP($X11,卡带!A$3:B$15,卡带!$B$1,FALSE)+IF(AB11="属伤",中间!$M$2,0)+IF($AD11="属伤",$AC11%*$AF11,0)</f>
        <v>0.48</v>
      </c>
      <c r="S11" s="48">
        <f>角色!T11+VLOOKUP($V11,弧盘!$A$2:$AF$51,弧盘!$L$1,FALSE)+VLOOKUP($X11,卡带!A$3:F$15,卡带!$F$1,FALSE)+IF($AD11="充能",$AC11%*$AF11,0)</f>
        <v>0.12</v>
      </c>
      <c r="T11" s="49">
        <f>角色!U11+VLOOKUP($V11,弧盘!$A$2:$AF$51,弧盘!M$1,FALSE)+VLOOKUP($X11,卡带!$A$2:$V$14,卡带!G$1,FALSE)+IF($AB11="精通",中间!$M$5,0)+IF($AD11="精通",$AC11%*$AF11,0)+AJ11</f>
        <v>270</v>
      </c>
      <c r="U11" s="49">
        <f>角色!V11+VLOOKUP($V11,弧盘!$A$2:$AF$51,弧盘!N$1,FALSE)+VLOOKUP($X11,卡带!$A$2:$V$14,卡带!H$1,FALSE)+IF($AB11="倾陷",中间!$M$6,0)+AK11</f>
        <v>0</v>
      </c>
      <c r="V11" s="50" t="s">
        <v>158</v>
      </c>
      <c r="W11" s="46" t="str">
        <f>IFERROR(VLOOKUP(V11,弧盘!$A$2:O60,弧盘!$O$1,FALSE),"")</f>
        <v>18充能；Q后全队10%攻击，控住额外6%，20秒</v>
      </c>
      <c r="X11" s="50" t="s">
        <v>70</v>
      </c>
      <c r="Y11" s="46" t="str">
        <f>IFERROR(VLOOKUP(X11,卡带!$A$2:$J$14,卡带!$J$1,FALSE),"")</f>
        <v>12充能；Q后全队15%攻击，10秒</v>
      </c>
      <c r="Z11" s="45">
        <v>10</v>
      </c>
      <c r="AA11" s="45">
        <f t="shared" si="7"/>
        <v>1.99900462710443</v>
      </c>
      <c r="AB11" s="51" t="s">
        <v>131</v>
      </c>
      <c r="AC11" s="44">
        <v>8</v>
      </c>
      <c r="AD11" s="44" t="s">
        <v>136</v>
      </c>
      <c r="AE11" s="44" t="str">
        <f t="shared" si="12"/>
        <v>8属伤</v>
      </c>
      <c r="AF11" s="51">
        <v>6</v>
      </c>
      <c r="AG11" s="52">
        <v>0.15</v>
      </c>
      <c r="AH11" s="52">
        <v>0.1</v>
      </c>
      <c r="AI11" s="52">
        <v>0.2</v>
      </c>
      <c r="AJ11" s="44">
        <v>90</v>
      </c>
      <c r="AL11" s="48">
        <v>0.125</v>
      </c>
      <c r="AN11" s="52"/>
      <c r="AP11" s="52"/>
      <c r="AR11" s="44"/>
      <c r="AS11" s="44"/>
      <c r="AT11" s="53"/>
      <c r="AU11" s="44"/>
      <c r="AV11" s="44"/>
      <c r="AW11" s="44"/>
      <c r="AX11" s="44">
        <f t="shared" si="9"/>
        <v>0</v>
      </c>
      <c r="AY11" s="44" t="b">
        <f t="shared" si="10"/>
        <v>0</v>
      </c>
      <c r="AZ11" s="44" t="b">
        <f t="shared" si="11"/>
        <v>0</v>
      </c>
    </row>
    <row r="12" customHeight="1" spans="1:52">
      <c r="A12" s="44" t="s">
        <v>23</v>
      </c>
      <c r="B12" s="44" t="str">
        <f>角色!B12</f>
        <v>咒</v>
      </c>
      <c r="C12" s="44" t="s">
        <v>154</v>
      </c>
      <c r="D12" s="44">
        <f>角色!D12+VLOOKUP($V12,弧盘!$A$2:$C$51,弧盘!$B$1,FALSE)</f>
        <v>832.25</v>
      </c>
      <c r="E12" s="44">
        <f>角色!L12+VLOOKUP($V12,弧盘!$A$2:$AF$51,弧盘!$I$1,FALSE)+VLOOKUP($X12,卡带!$A$2:$V$14,卡带!$C$1,FALSE)+IF($AB12="攻击",中间!$M$7,0)+IF($AD12="攻击",$AF12*$AC12%,0)+AP12</f>
        <v>0.2625</v>
      </c>
      <c r="F12" s="47">
        <f>AM12+角色!M12+中间!$L$20</f>
        <v>420</v>
      </c>
      <c r="G12" s="47">
        <f t="shared" si="4"/>
        <v>1470.715625</v>
      </c>
      <c r="H12" s="44">
        <f>角色!F12</f>
        <v>14301.6</v>
      </c>
      <c r="I12" s="44">
        <f>角色!N12+VLOOKUP($V12,弧盘!$A$2:$AF$51,弧盘!$J$1,FALSE)+VLOOKUP($X12,卡带!$A$2:$V$14,卡带!$D$1,FALSE)+IF($AB12="生命",中间!$M$8,0)+IF($AD12="生命",$AF12*$AC12%,0)+AN12</f>
        <v>0</v>
      </c>
      <c r="J12" s="47">
        <f>AO12+角色!O12+中间!$L$21</f>
        <v>5200</v>
      </c>
      <c r="K12" s="47">
        <f t="shared" si="5"/>
        <v>19501.6</v>
      </c>
      <c r="L12" s="44">
        <f>角色!H12</f>
        <v>993.84</v>
      </c>
      <c r="M12" s="44">
        <f>角色!P12+VLOOKUP($V12,弧盘!$A$2:$AF$51,弧盘!$K$1,FALSE)+VLOOKUP($X12,卡带!$A$2:$V$14,卡带!$E$1,FALSE)+IF($AB12="防御",中间!$M$9,0)+IF($AD12="防御",$AF12*$AC12%,0)+AR12</f>
        <v>2.395</v>
      </c>
      <c r="N12" s="47">
        <f>AQ12+角色!Q12</f>
        <v>0</v>
      </c>
      <c r="O12" s="47">
        <f t="shared" si="6"/>
        <v>3374.0868</v>
      </c>
      <c r="P12" s="48">
        <f>角色!J12+VLOOKUP($V12,弧盘!$A$2:$AF$51,弧盘!$G$1,FALSE)+IF(AB12="暴击",中间!$M$3,0)+AH12+IF($AD12="暴击",$AC12%*$AF12,0)</f>
        <v>0.2</v>
      </c>
      <c r="Q12" s="48">
        <f>角色!K12+VLOOKUP($V12,弧盘!$A$2:$AF$51,弧盘!$H$1,FALSE)+IF(AB12="暴伤",中间!$M$4,0)+IF($AD12="暴伤",$AC12%*$AF12,0)+AI12</f>
        <v>0.8</v>
      </c>
      <c r="R12" s="48">
        <f>角色!X12+VLOOKUP($X12,卡带!A$3:B$15,卡带!$B$1,FALSE)+IF(AB12="属伤",中间!$M$2,0)+IF($AD12="属伤",$AC12%*$AF12,0)</f>
        <v>0.375</v>
      </c>
      <c r="S12" s="48">
        <f>角色!T12+VLOOKUP($V12,弧盘!$A$2:$AF$51,弧盘!$L$1,FALSE)+VLOOKUP($X12,卡带!A$3:F$15,卡带!$F$1,FALSE)+IF($AD12="充能",$AC12%*$AF12,0)</f>
        <v>0</v>
      </c>
      <c r="T12" s="49">
        <f>角色!U12+VLOOKUP($V12,弧盘!$A$2:$AF$51,弧盘!M$1,FALSE)+VLOOKUP($X12,卡带!$A$2:$V$14,卡带!G$1,FALSE)+IF($AB12="精通",中间!$M$5,0)+IF($AD12="精通",$AC12%*$AF12,0)+AJ12</f>
        <v>0</v>
      </c>
      <c r="U12" s="49">
        <f>角色!V12+VLOOKUP($V12,弧盘!$A$2:$AF$51,弧盘!N$1,FALSE)+VLOOKUP($X12,卡带!$A$2:$V$14,卡带!H$1,FALSE)+IF($AB12="倾陷",中间!$M$6,0)+AK12</f>
        <v>0</v>
      </c>
      <c r="V12" s="50" t="s">
        <v>159</v>
      </c>
      <c r="W12" s="46" t="str">
        <f>IFERROR(VLOOKUP(V12,弧盘!$A$2:O61,弧盘!$O$1,FALSE),"")</f>
        <v>18生命；18护盾强度</v>
      </c>
      <c r="X12" s="50" t="s">
        <v>160</v>
      </c>
      <c r="Y12" s="46" t="str">
        <f>IFERROR(VLOOKUP(X12,卡带!$A$2:$J$14,卡带!$J$1,FALSE),"")</f>
        <v>15防御；20%护盾强效</v>
      </c>
      <c r="Z12" s="45">
        <v>10</v>
      </c>
      <c r="AA12" s="45">
        <f t="shared" si="7"/>
        <v>2.15892499727279</v>
      </c>
      <c r="AB12" s="51" t="s">
        <v>136</v>
      </c>
      <c r="AC12" s="44">
        <v>12</v>
      </c>
      <c r="AD12" s="44" t="s">
        <v>161</v>
      </c>
      <c r="AE12" s="44" t="str">
        <f t="shared" si="12"/>
        <v>12防御</v>
      </c>
      <c r="AF12" s="51">
        <v>6</v>
      </c>
      <c r="AG12" s="52">
        <v>0.15</v>
      </c>
      <c r="AH12" s="52">
        <v>0.15</v>
      </c>
      <c r="AI12" s="52">
        <v>0.3</v>
      </c>
      <c r="AL12" s="48"/>
      <c r="AN12" s="52"/>
      <c r="AP12" s="52">
        <f>1.75%*15</f>
        <v>0.2625</v>
      </c>
      <c r="AR12" s="44" t="b">
        <v>1</v>
      </c>
      <c r="AS12" s="44" t="b">
        <v>1</v>
      </c>
      <c r="AT12" s="44" t="b">
        <v>1</v>
      </c>
      <c r="AU12" s="44" t="b">
        <v>1</v>
      </c>
      <c r="AV12" s="44" t="b">
        <v>1</v>
      </c>
      <c r="AW12" s="44" t="b">
        <v>1</v>
      </c>
      <c r="AX12" s="44">
        <f t="shared" si="9"/>
        <v>6</v>
      </c>
      <c r="AY12" s="44" t="b">
        <f t="shared" si="10"/>
        <v>1</v>
      </c>
      <c r="AZ12" s="53" t="b">
        <f t="shared" si="11"/>
        <v>1</v>
      </c>
    </row>
    <row r="13" customHeight="1" spans="1:52">
      <c r="A13" s="44" t="s">
        <v>162</v>
      </c>
      <c r="B13" s="44" t="str">
        <f>角色!B13</f>
        <v>暗</v>
      </c>
      <c r="C13" s="44" t="s">
        <v>142</v>
      </c>
      <c r="D13" s="44">
        <f>角色!D13+VLOOKUP($V13,弧盘!$A$2:$C$51,弧盘!$B$1,FALSE)</f>
        <v>1206</v>
      </c>
      <c r="E13" s="44">
        <f>角色!L13+VLOOKUP($V13,弧盘!$A$2:$AF$51,弧盘!$I$1,FALSE)+VLOOKUP($X13,卡带!$A$2:$V$14,卡带!$C$1,FALSE)+IF($AB13="攻击",中间!$M$7,0)+IF($AD13="攻击",$AF13*$AC13%,0)+AL13</f>
        <v>0.1875</v>
      </c>
      <c r="F13" s="47">
        <f>AM13+角色!M13+中间!$L$20</f>
        <v>620</v>
      </c>
      <c r="G13" s="47">
        <f t="shared" si="4"/>
        <v>2052.125</v>
      </c>
      <c r="H13" s="44">
        <f>角色!F13</f>
        <v>15998.4</v>
      </c>
      <c r="I13" s="44">
        <f>角色!N13+VLOOKUP($V13,弧盘!$A$2:$AF$51,弧盘!$J$1,FALSE)+VLOOKUP($X13,卡带!$A$2:$V$14,卡带!$D$1,FALSE)+IF($AB13="生命",中间!$M$8,0)+IF($AD13="生命",$AF13*$AC13%,0)+AN13</f>
        <v>0</v>
      </c>
      <c r="J13" s="47">
        <f>AO13+角色!O13+中间!$L$21</f>
        <v>5200</v>
      </c>
      <c r="K13" s="47">
        <f t="shared" si="5"/>
        <v>21198.4</v>
      </c>
      <c r="L13" s="44">
        <f>角色!H13</f>
        <v>909</v>
      </c>
      <c r="M13" s="44">
        <f>角色!P13+VLOOKUP($V13,弧盘!$A$2:$AF$51,弧盘!$K$1,FALSE)+VLOOKUP($X13,卡带!$A$2:$V$14,卡带!$E$1,FALSE)+IF($AB13="防御",中间!$M$9,0)+IF($AD13="防御",$AF13*$AC13%,0)+AR13</f>
        <v>0</v>
      </c>
      <c r="N13" s="47">
        <f>AQ13+角色!Q13</f>
        <v>0</v>
      </c>
      <c r="O13" s="47">
        <f t="shared" si="6"/>
        <v>909</v>
      </c>
      <c r="P13" s="48">
        <f>角色!J13+VLOOKUP($V13,弧盘!$A$2:$AF$51,弧盘!$G$1,FALSE)+IF(AB13="暴击",中间!$M$3,0)+AH13+IF($AD13="暴击",$AC13%*$AF13,0)</f>
        <v>0.39</v>
      </c>
      <c r="Q13" s="48">
        <f>角色!K13+VLOOKUP($V13,弧盘!$A$2:$AF$51,弧盘!$H$1,FALSE)+IF(AB13="暴伤",中间!$M$4,0)+IF($AD13="暴伤",$AC13%*$AF13,0)+AI13</f>
        <v>0.8</v>
      </c>
      <c r="R13" s="48">
        <f>角色!X13+VLOOKUP($X13,卡带!A$3:B$15,卡带!$B$1,FALSE)+IF(AB13="属伤",中间!$M$2,0)+IF($AD13="属伤",$AC13%*$AF13,0)</f>
        <v>0.875</v>
      </c>
      <c r="S13" s="48">
        <f>角色!T13+VLOOKUP($V13,弧盘!$A$2:$AF$51,弧盘!$L$1,FALSE)+VLOOKUP($X13,卡带!A$3:F$15,卡带!$F$1,FALSE)+IF($AD13="充能",$AC13%*$AF13,0)</f>
        <v>0</v>
      </c>
      <c r="T13" s="49">
        <f>角色!U13+VLOOKUP($V13,弧盘!$A$2:$AF$51,弧盘!M$1,FALSE)+VLOOKUP($X13,卡带!$A$2:$V$14,卡带!G$1,FALSE)+IF($AB13="精通",中间!$M$5,0)+IF($AD13="精通",$AC13%*$AF13,0)+AJ13</f>
        <v>0</v>
      </c>
      <c r="U13" s="49">
        <f>角色!V13+VLOOKUP($V13,弧盘!$A$2:$AF$51,弧盘!N$1,FALSE)+VLOOKUP($X13,卡带!$A$2:$V$14,卡带!H$1,FALSE)+IF($AB13="倾陷",中间!$M$6,0)+AK13</f>
        <v>0</v>
      </c>
      <c r="V13" s="50" t="s">
        <v>163</v>
      </c>
      <c r="W13" s="46" t="str">
        <f>IFERROR(VLOOKUP(V13,弧盘!$A$2:O62,弧盘!$O$1,FALSE),"")</f>
        <v>14攻击；叠层60暴伤；倾陷延时3s</v>
      </c>
      <c r="X13" s="50" t="s">
        <v>164</v>
      </c>
      <c r="Y13" s="46" t="str">
        <f>IFERROR(VLOOKUP(X13,卡带!$A$2:$J$14,卡带!$J$1,FALSE),"")</f>
        <v>10暗伤；无视12抗性，触发暗反应后翻倍，20秒</v>
      </c>
      <c r="Z13" s="45">
        <v>10</v>
      </c>
      <c r="AA13" s="45">
        <f t="shared" si="7"/>
        <v>1.99900462710443</v>
      </c>
      <c r="AB13" s="51" t="s">
        <v>136</v>
      </c>
      <c r="AC13" s="44">
        <v>10</v>
      </c>
      <c r="AD13" s="44" t="s">
        <v>136</v>
      </c>
      <c r="AE13" s="44" t="str">
        <f t="shared" si="12"/>
        <v>10属伤</v>
      </c>
      <c r="AF13" s="51">
        <v>4</v>
      </c>
      <c r="AG13" s="52">
        <v>0.15</v>
      </c>
      <c r="AH13" s="52">
        <v>0.1</v>
      </c>
      <c r="AI13" s="52">
        <v>0.3</v>
      </c>
      <c r="AL13" s="48">
        <v>0.1875</v>
      </c>
      <c r="AN13" s="52"/>
      <c r="AP13" s="52"/>
      <c r="AR13" s="44"/>
      <c r="AS13" s="44"/>
      <c r="AT13" s="44"/>
      <c r="AU13" s="53"/>
      <c r="AV13" s="53"/>
      <c r="AW13" s="53" t="b">
        <v>1</v>
      </c>
      <c r="AX13" s="44">
        <f t="shared" si="9"/>
        <v>1</v>
      </c>
      <c r="AY13" s="44" t="b">
        <f t="shared" si="10"/>
        <v>0</v>
      </c>
      <c r="AZ13" s="44" t="b">
        <f t="shared" si="11"/>
        <v>0</v>
      </c>
    </row>
    <row r="14" customHeight="1" spans="1:52">
      <c r="A14" s="44" t="s">
        <v>165</v>
      </c>
      <c r="B14" s="44" t="str">
        <f>角色!B14</f>
        <v>暗</v>
      </c>
      <c r="C14" s="44" t="s">
        <v>142</v>
      </c>
      <c r="D14" s="44">
        <f>角色!D14+VLOOKUP($V14,弧盘!$A$2:$C$51,弧盘!$B$1,FALSE)</f>
        <v>1213.95</v>
      </c>
      <c r="E14" s="44">
        <f>角色!L14+VLOOKUP($V14,弧盘!$A$2:$AF$51,弧盘!$I$1,FALSE)+VLOOKUP($X14,卡带!$A$2:$V$14,卡带!$C$1,FALSE)+IF($AB14="攻击",中间!$M$7,0)+IF($AD14="攻击",$AF14*$AC14%,0)+AL14</f>
        <v>0.425</v>
      </c>
      <c r="F14" s="47">
        <f>AM14+角色!M14+中间!$L$20</f>
        <v>420</v>
      </c>
      <c r="G14" s="47">
        <f t="shared" si="4"/>
        <v>2149.87875</v>
      </c>
      <c r="H14" s="44">
        <f>角色!F14</f>
        <v>16180.2</v>
      </c>
      <c r="I14" s="44">
        <f>角色!N14+VLOOKUP($V14,弧盘!$A$2:$AF$51,弧盘!$J$1,FALSE)+VLOOKUP($X14,卡带!$A$2:$V$14,卡带!$D$1,FALSE)+IF($AB14="生命",中间!$M$8,0)+IF($AD14="生命",$AF14*$AC14%,0)+AN14</f>
        <v>0</v>
      </c>
      <c r="J14" s="47">
        <f>AO14+角色!O14+中间!$L$21</f>
        <v>5200</v>
      </c>
      <c r="K14" s="47">
        <f t="shared" si="5"/>
        <v>21380.2</v>
      </c>
      <c r="L14" s="44">
        <f>角色!H14</f>
        <v>872.64</v>
      </c>
      <c r="M14" s="44">
        <f>角色!P14+VLOOKUP($V14,弧盘!$A$2:$AF$51,弧盘!$K$1,FALSE)+VLOOKUP($X14,卡带!$A$2:$V$14,卡带!$E$1,FALSE)+IF($AB14="防御",中间!$M$9,0)+IF($AD14="防御",$AF14*$AC14%,0)+AR14</f>
        <v>0</v>
      </c>
      <c r="N14" s="47">
        <f>AQ14+角色!Q14</f>
        <v>0</v>
      </c>
      <c r="O14" s="47">
        <f t="shared" si="6"/>
        <v>872.64</v>
      </c>
      <c r="P14" s="48">
        <f>角色!J14+VLOOKUP($V14,弧盘!$A$2:$AF$51,弧盘!$G$1,FALSE)+IF(AB14="暴击",中间!$M$3,0)+AH14+IF($AD14="暴击",$AC14%*$AF14,0)</f>
        <v>0.15</v>
      </c>
      <c r="Q14" s="48">
        <f>角色!K14+VLOOKUP($V14,弧盘!$A$2:$AF$51,弧盘!$H$1,FALSE)+IF(AB14="暴伤",中间!$M$4,0)+IF($AD14="暴伤",$AC14%*$AF14,0)+AI14</f>
        <v>0.7</v>
      </c>
      <c r="R14" s="48">
        <f>角色!X14+VLOOKUP($X14,卡带!A$3:B$15,卡带!$B$1,FALSE)+IF(AB14="属伤",中间!$M$2,0)+IF($AD14="属伤",$AC14%*$AF14,0)</f>
        <v>0.875</v>
      </c>
      <c r="S14" s="48">
        <f>角色!T14+VLOOKUP($V14,弧盘!$A$2:$AF$51,弧盘!$L$1,FALSE)+VLOOKUP($X14,卡带!A$3:F$15,卡带!$F$1,FALSE)+IF($AD14="充能",$AC14%*$AF14,0)</f>
        <v>0</v>
      </c>
      <c r="T14" s="49">
        <f>角色!U14+VLOOKUP($V14,弧盘!$A$2:$AF$51,弧盘!M$1,FALSE)+VLOOKUP($X14,卡带!$A$2:$V$14,卡带!G$1,FALSE)+IF($AB14="精通",中间!$M$5,0)+IF($AD14="精通",$AC14%*$AF14,0)+AJ14</f>
        <v>30</v>
      </c>
      <c r="U14" s="49">
        <f>角色!V14+VLOOKUP($V14,弧盘!$A$2:$AF$51,弧盘!N$1,FALSE)+VLOOKUP($X14,卡带!$A$2:$V$14,卡带!H$1,FALSE)+IF($AB14="倾陷",中间!$M$6,0)+AK14</f>
        <v>60</v>
      </c>
      <c r="V14" s="50" t="s">
        <v>166</v>
      </c>
      <c r="W14" s="46" t="str">
        <f>IFERROR(VLOOKUP(V14,弧盘!$A$2:O63,弧盘!$O$1,FALSE),"")</f>
        <v>60倾陷；调弧：20暗伤、倾陷200%倍率</v>
      </c>
      <c r="X14" s="50" t="s">
        <v>164</v>
      </c>
      <c r="Y14" s="46" t="str">
        <f>IFERROR(VLOOKUP(X14,卡带!$A$2:$J$14,卡带!$J$1,FALSE),"")</f>
        <v>10暗伤；无视12抗性，触发暗反应后翻倍，20秒</v>
      </c>
      <c r="Z14" s="45">
        <v>10</v>
      </c>
      <c r="AA14" s="45">
        <f t="shared" si="7"/>
        <v>1.99900462710443</v>
      </c>
      <c r="AB14" s="51" t="s">
        <v>136</v>
      </c>
      <c r="AC14" s="44">
        <v>10</v>
      </c>
      <c r="AD14" s="44" t="s">
        <v>136</v>
      </c>
      <c r="AE14" s="44" t="str">
        <f t="shared" si="12"/>
        <v>10属伤</v>
      </c>
      <c r="AF14" s="51">
        <v>4</v>
      </c>
      <c r="AG14" s="52">
        <v>0.15</v>
      </c>
      <c r="AH14" s="52">
        <v>0.1</v>
      </c>
      <c r="AI14" s="52">
        <v>0.2</v>
      </c>
      <c r="AJ14" s="44">
        <v>30</v>
      </c>
      <c r="AK14" s="44">
        <v>60</v>
      </c>
      <c r="AL14" s="48">
        <v>0.125</v>
      </c>
      <c r="AN14" s="52"/>
      <c r="AP14" s="52"/>
      <c r="AR14" s="54"/>
      <c r="AS14" s="54"/>
      <c r="AT14" s="54" t="b">
        <v>1</v>
      </c>
      <c r="AU14" s="54"/>
      <c r="AV14" s="54"/>
      <c r="AW14" s="54"/>
      <c r="AX14" s="44">
        <f t="shared" si="9"/>
        <v>1</v>
      </c>
      <c r="AY14" s="44" t="b">
        <f t="shared" si="10"/>
        <v>0</v>
      </c>
      <c r="AZ14" s="44" t="b">
        <f t="shared" si="11"/>
        <v>0</v>
      </c>
    </row>
    <row r="15" customHeight="1" spans="1:52">
      <c r="A15" s="44" t="s">
        <v>167</v>
      </c>
      <c r="B15" s="44" t="str">
        <f>角色!B15</f>
        <v>魂</v>
      </c>
      <c r="C15" s="44" t="s">
        <v>154</v>
      </c>
      <c r="D15" s="44">
        <f>角色!D15+VLOOKUP($V15,弧盘!$A$2:$C$51,弧盘!$B$1,FALSE)</f>
        <v>1020.25</v>
      </c>
      <c r="E15" s="44">
        <f>角色!L15+VLOOKUP($V15,弧盘!$A$2:$AF$51,弧盘!$I$1,FALSE)+VLOOKUP($X15,卡带!$A$2:$V$14,卡带!$C$1,FALSE)+IF($AB15="攻击",中间!$M$7,0)+IF($AD15="攻击",$AF15*$AC15%,0)+AL15</f>
        <v>0</v>
      </c>
      <c r="F15" s="47">
        <f>AM15+角色!M15+中间!$L$20</f>
        <v>420</v>
      </c>
      <c r="G15" s="47">
        <f t="shared" si="4"/>
        <v>1440.25</v>
      </c>
      <c r="H15" s="44">
        <f>角色!F15</f>
        <v>17089.2</v>
      </c>
      <c r="I15" s="44">
        <f>角色!N15+VLOOKUP($V15,弧盘!$A$2:$AF$51,弧盘!$J$1,FALSE)+VLOOKUP($X15,卡带!$A$2:$V$14,卡带!$D$1,FALSE)+IF($AB15="生命",中间!$M$8,0)+IF($AD15="生命",$AF15*$AC15%,0)+AN15</f>
        <v>0.8975</v>
      </c>
      <c r="J15" s="47">
        <f>AO15+角色!O15+中间!$L$21</f>
        <v>5200</v>
      </c>
      <c r="K15" s="47">
        <f t="shared" si="5"/>
        <v>37626.757</v>
      </c>
      <c r="L15" s="44">
        <f>角色!H15</f>
        <v>909</v>
      </c>
      <c r="M15" s="44">
        <f>角色!P15+VLOOKUP($V15,弧盘!$A$2:$AF$51,弧盘!$K$1,FALSE)+VLOOKUP($X15,卡带!$A$2:$V$14,卡带!$E$1,FALSE)+IF($AB15="防御",中间!$M$9,0)+IF($AD15="防御",$AF15*$AC15%,0)+AR15</f>
        <v>0</v>
      </c>
      <c r="N15" s="47">
        <f>AQ15+角色!Q15</f>
        <v>0</v>
      </c>
      <c r="O15" s="47">
        <f t="shared" si="6"/>
        <v>909</v>
      </c>
      <c r="P15" s="48">
        <f>角色!J15+VLOOKUP($V15,弧盘!$A$2:$AF$51,弧盘!$G$1,FALSE)+IF(AB15="暴击",中间!$M$3,0)+AH15+IF($AD15="暴击",$AC15%*$AF15,0)</f>
        <v>0.15</v>
      </c>
      <c r="Q15" s="48">
        <f>角色!K15+VLOOKUP($V15,弧盘!$A$2:$AF$51,弧盘!$H$1,FALSE)+IF(AB15="暴伤",中间!$M$4,0)+IF($AD15="暴伤",$AC15%*$AF15,0)+AI15</f>
        <v>0.7</v>
      </c>
      <c r="R15" s="48">
        <f>角色!X15+VLOOKUP($X15,卡带!A$3:B$15,卡带!$B$1,FALSE)+IF(AB15="属伤",中间!$M$2,0)+IF($AD15="属伤",$AC15%*$AF15,0)</f>
        <v>0</v>
      </c>
      <c r="S15" s="48">
        <f>角色!T15+VLOOKUP($V15,弧盘!$A$2:$AF$51,弧盘!$L$1,FALSE)+VLOOKUP($X15,卡带!A$3:F$15,卡带!$F$1,FALSE)+IF($AD15="充能",$AC15%*$AF15,0)</f>
        <v>0.12</v>
      </c>
      <c r="T15" s="49">
        <f>角色!U15+VLOOKUP($V15,弧盘!$A$2:$AF$51,弧盘!M$1,FALSE)+VLOOKUP($X15,卡带!$A$2:$V$14,卡带!G$1,FALSE)+IF($AB15="精通",中间!$M$5,0)+IF($AD15="精通",$AC15%*$AF15,0)+AJ15</f>
        <v>0</v>
      </c>
      <c r="U15" s="49">
        <f>角色!V15+VLOOKUP($V15,弧盘!$A$2:$AF$51,弧盘!N$1,FALSE)+VLOOKUP($X15,卡带!$A$2:$V$14,卡带!H$1,FALSE)+IF($AB15="倾陷",中间!$M$6,0)+AK15</f>
        <v>270</v>
      </c>
      <c r="V15" s="50" t="s">
        <v>168</v>
      </c>
      <c r="W15" s="46" t="str">
        <f>IFERROR(VLOOKUP(V15,弧盘!$A$2:O64,弧盘!$O$1,FALSE),"")</f>
        <v>25生命；Q后20潜意伤，10秒</v>
      </c>
      <c r="X15" s="50" t="s">
        <v>70</v>
      </c>
      <c r="Y15" s="46" t="str">
        <f>IFERROR(VLOOKUP(X15,卡带!$A$2:$J$14,卡带!$J$1,FALSE),"")</f>
        <v>12充能；Q后全队15%攻击，10秒</v>
      </c>
      <c r="Z15" s="45">
        <v>10</v>
      </c>
      <c r="AA15" s="45">
        <f t="shared" si="7"/>
        <v>1.99900462710443</v>
      </c>
      <c r="AB15" s="51" t="s">
        <v>46</v>
      </c>
      <c r="AC15" s="44">
        <v>6</v>
      </c>
      <c r="AD15" s="44" t="s">
        <v>146</v>
      </c>
      <c r="AE15" s="44" t="str">
        <f t="shared" si="12"/>
        <v>6生命</v>
      </c>
      <c r="AF15" s="55">
        <v>6</v>
      </c>
      <c r="AG15" s="52">
        <v>0.15</v>
      </c>
      <c r="AH15" s="52">
        <v>0.1</v>
      </c>
      <c r="AI15" s="52">
        <v>0.2</v>
      </c>
      <c r="AK15" s="44">
        <v>90</v>
      </c>
      <c r="AL15" s="48"/>
      <c r="AN15" s="52">
        <v>0.125</v>
      </c>
      <c r="AP15" s="52"/>
      <c r="AR15" s="54"/>
      <c r="AS15" s="54"/>
      <c r="AT15" s="54"/>
      <c r="AU15" s="54"/>
      <c r="AV15" s="54"/>
      <c r="AW15" s="54"/>
      <c r="AX15" s="44">
        <f t="shared" si="9"/>
        <v>0</v>
      </c>
      <c r="AY15" s="44" t="b">
        <f t="shared" si="10"/>
        <v>0</v>
      </c>
      <c r="AZ15" s="44" t="b">
        <f t="shared" si="11"/>
        <v>0</v>
      </c>
    </row>
    <row r="16" customHeight="1" spans="1:52">
      <c r="A16" s="44" t="s">
        <v>169</v>
      </c>
      <c r="B16" s="44" t="str">
        <f>角色!B16</f>
        <v>魂</v>
      </c>
      <c r="C16" s="44" t="s">
        <v>128</v>
      </c>
      <c r="D16" s="44">
        <f>角色!D16+VLOOKUP($V16,弧盘!$A$2:$C$51,弧盘!$B$1,FALSE)</f>
        <v>1004.9</v>
      </c>
      <c r="E16" s="44">
        <f>角色!L16+VLOOKUP($V16,弧盘!$A$2:$AF$51,弧盘!$I$1,FALSE)+VLOOKUP($X16,卡带!$A$2:$V$14,卡带!$C$1,FALSE)+IF($AB16="攻击",中间!$M$7,0)+IF($AD16="攻击",$AF16*$AC16%,0)+AL16</f>
        <v>1</v>
      </c>
      <c r="F16" s="47">
        <f>AM16+角色!M16+中间!$L$20</f>
        <v>420</v>
      </c>
      <c r="G16" s="47">
        <f t="shared" si="4"/>
        <v>2429.8</v>
      </c>
      <c r="H16" s="44">
        <f>角色!F16</f>
        <v>13695.6</v>
      </c>
      <c r="I16" s="44">
        <f>角色!N16+VLOOKUP($V16,弧盘!$A$2:$AF$51,弧盘!$J$1,FALSE)+VLOOKUP($X16,卡带!$A$2:$V$14,卡带!$D$1,FALSE)+IF($AB16="生命",中间!$M$8,0)+IF($AD16="生命",$AF16*$AC16%,0)+AN16</f>
        <v>0</v>
      </c>
      <c r="J16" s="47">
        <f>AO16+角色!O16+中间!$L$21</f>
        <v>5200</v>
      </c>
      <c r="K16" s="47">
        <f t="shared" si="5"/>
        <v>18895.6</v>
      </c>
      <c r="L16" s="44">
        <f>角色!H16</f>
        <v>848.4</v>
      </c>
      <c r="M16" s="44">
        <f>角色!P16+VLOOKUP($V16,弧盘!$A$2:$AF$51,弧盘!$K$1,FALSE)+VLOOKUP($X16,卡带!$A$2:$V$14,卡带!$E$1,FALSE)+IF($AB16="防御",中间!$M$9,0)+IF($AD16="防御",$AF16*$AC16%,0)+AR16</f>
        <v>1</v>
      </c>
      <c r="N16" s="47">
        <f>AQ16+角色!Q16</f>
        <v>0</v>
      </c>
      <c r="O16" s="47">
        <f t="shared" si="6"/>
        <v>1696.8</v>
      </c>
      <c r="P16" s="48">
        <f>角色!J16+VLOOKUP($V16,弧盘!$A$2:$AF$51,弧盘!$G$1,FALSE)+IF(AB16="暴击",中间!$M$3,0)+AH16+IF($AD16="暴击",$AC16%*$AF16,0)</f>
        <v>0.15</v>
      </c>
      <c r="Q16" s="48">
        <f>角色!K16+VLOOKUP($V16,弧盘!$A$2:$AF$51,弧盘!$H$1,FALSE)+IF(AB16="暴伤",中间!$M$4,0)+IF($AD16="暴伤",$AC16%*$AF16,0)+AI16</f>
        <v>0.7</v>
      </c>
      <c r="R16" s="48">
        <f>角色!X16+VLOOKUP($X16,卡带!A$3:B$15,卡带!$B$1,FALSE)+IF(AB16="属伤",中间!$M$2,0)+IF($AD16="属伤",$AC16%*$AF16,0)</f>
        <v>0</v>
      </c>
      <c r="S16" s="48">
        <f>角色!T16+VLOOKUP($V16,弧盘!$A$2:$AF$51,弧盘!$L$1,FALSE)+VLOOKUP($X16,卡带!A$3:F$15,卡带!$F$1,FALSE)+IF($AD16="充能",$AC16%*$AF16,0)</f>
        <v>0.12</v>
      </c>
      <c r="T16" s="49">
        <f>角色!U16+VLOOKUP($V16,弧盘!$A$2:$AF$51,弧盘!M$1,FALSE)+VLOOKUP($X16,卡带!$A$2:$V$14,卡带!G$1,FALSE)+IF($AB16="精通",中间!$M$5,0)+IF($AD16="精通",$AC16%*$AF16,0)+AJ16</f>
        <v>0</v>
      </c>
      <c r="U16" s="49">
        <f>角色!V16+VLOOKUP($V16,弧盘!$A$2:$AF$51,弧盘!N$1,FALSE)+VLOOKUP($X16,卡带!$A$2:$V$14,卡带!H$1,FALSE)+IF($AB16="倾陷",中间!$M$6,0)+AK16</f>
        <v>270</v>
      </c>
      <c r="V16" s="50" t="s">
        <v>170</v>
      </c>
      <c r="W16" s="46" t="str">
        <f>IFERROR(VLOOKUP(V16,弧盘!$A$2:O65,弧盘!$O$1,FALSE),"")</f>
        <v>12-32%魂伤</v>
      </c>
      <c r="X16" s="50" t="s">
        <v>70</v>
      </c>
      <c r="Y16" s="46" t="str">
        <f>IFERROR(VLOOKUP(X16,卡带!$A$2:$J$14,卡带!$J$1,FALSE),"")</f>
        <v>12充能；Q后全队15%攻击，10秒</v>
      </c>
      <c r="Z16" s="45">
        <v>10</v>
      </c>
      <c r="AA16" s="45">
        <f t="shared" si="7"/>
        <v>2.15892499727279</v>
      </c>
      <c r="AB16" s="51" t="s">
        <v>46</v>
      </c>
      <c r="AC16" s="44">
        <v>10</v>
      </c>
      <c r="AD16" s="44" t="s">
        <v>132</v>
      </c>
      <c r="AE16" s="44" t="str">
        <f t="shared" si="12"/>
        <v>10攻击</v>
      </c>
      <c r="AF16" s="51">
        <v>6</v>
      </c>
      <c r="AG16" s="52">
        <v>0.15</v>
      </c>
      <c r="AH16" s="52">
        <v>0.1</v>
      </c>
      <c r="AI16" s="52">
        <v>0.2</v>
      </c>
      <c r="AK16" s="44">
        <v>90</v>
      </c>
      <c r="AL16" s="48">
        <v>0.125</v>
      </c>
      <c r="AN16" s="52"/>
      <c r="AP16" s="52"/>
      <c r="AR16" s="54" t="b">
        <v>1</v>
      </c>
      <c r="AS16" s="53" t="b">
        <v>1</v>
      </c>
      <c r="AT16" s="53" t="b">
        <v>1</v>
      </c>
      <c r="AU16" s="54" t="b">
        <v>1</v>
      </c>
      <c r="AV16" s="53" t="b">
        <v>1</v>
      </c>
      <c r="AW16" s="44" t="b">
        <v>1</v>
      </c>
      <c r="AX16" s="44">
        <f t="shared" si="9"/>
        <v>6</v>
      </c>
      <c r="AY16" s="44" t="b">
        <f t="shared" si="10"/>
        <v>1</v>
      </c>
      <c r="AZ16" s="53" t="b">
        <f t="shared" si="11"/>
        <v>1</v>
      </c>
    </row>
    <row r="17" customHeight="1" spans="1:52">
      <c r="A17" s="44" t="s">
        <v>171</v>
      </c>
      <c r="B17" s="44" t="str">
        <f>角色!B17</f>
        <v>相</v>
      </c>
      <c r="C17" s="44" t="s">
        <v>147</v>
      </c>
      <c r="D17" s="44">
        <f>角色!D17+VLOOKUP($V17,弧盘!$A$2:$C$51,弧盘!$B$1,FALSE)</f>
        <v>1309.95</v>
      </c>
      <c r="E17" s="44">
        <f>角色!L17+VLOOKUP($V17,弧盘!$A$2:$AF$51,弧盘!$I$1,FALSE)+VLOOKUP($X17,卡带!$A$2:$V$14,卡带!$C$1,FALSE)+IF($AB17="攻击",中间!$M$7,0)+IF($AD17="攻击",$AF17*$AC17%,0)+AL17</f>
        <v>0.5875</v>
      </c>
      <c r="F17" s="47">
        <f>AM17+角色!M17+中间!$L$20</f>
        <v>420</v>
      </c>
      <c r="G17" s="47">
        <f t="shared" si="4"/>
        <v>2499.545625</v>
      </c>
      <c r="H17" s="44">
        <f>角色!F17</f>
        <v>15998.4</v>
      </c>
      <c r="I17" s="44">
        <f>角色!N17+VLOOKUP($V17,弧盘!$A$2:$AF$51,弧盘!$J$1,FALSE)+VLOOKUP($X17,卡带!$A$2:$V$14,卡带!$D$1,FALSE)+IF($AB17="生命",中间!$M$8,0)+IF($AD17="生命",$AF17*$AC17%,0)+AN17</f>
        <v>0</v>
      </c>
      <c r="J17" s="47">
        <f>AO17+角色!O17+中间!$L$21</f>
        <v>5200</v>
      </c>
      <c r="K17" s="47">
        <f t="shared" si="5"/>
        <v>21198.4</v>
      </c>
      <c r="L17" s="44">
        <f>角色!H17</f>
        <v>884.76</v>
      </c>
      <c r="M17" s="44">
        <f>角色!P17+VLOOKUP($V17,弧盘!$A$2:$AF$51,弧盘!$K$1,FALSE)+VLOOKUP($X17,卡带!$A$2:$V$14,卡带!$E$1,FALSE)+IF($AB17="防御",中间!$M$9,0)+IF($AD17="防御",$AF17*$AC17%,0)+AR17</f>
        <v>0</v>
      </c>
      <c r="N17" s="47">
        <f>AQ17+角色!Q17</f>
        <v>0</v>
      </c>
      <c r="O17" s="47">
        <f t="shared" si="6"/>
        <v>884.76</v>
      </c>
      <c r="P17" s="48">
        <f>角色!J17+VLOOKUP($V17,弧盘!$A$2:$AF$51,弧盘!$G$1,FALSE)+IF(AB17="暴击",中间!$M$3,0)+AH17+IF($AD17="暴击",$AC17%*$AF17,0)</f>
        <v>0.5</v>
      </c>
      <c r="Q17" s="48">
        <f>角色!K17+VLOOKUP($V17,弧盘!$A$2:$AF$51,弧盘!$H$1,FALSE)+IF(AB17="暴伤",中间!$M$4,0)+IF($AD17="暴伤",$AC17%*$AF17,0)+AI17</f>
        <v>1.04</v>
      </c>
      <c r="R17" s="48">
        <f>角色!X17+VLOOKUP($X17,卡带!A$3:B$15,卡带!$B$1,FALSE)+IF(AB17="属伤",中间!$M$2,0)+IF($AD17="属伤",$AC17%*$AF17,0)</f>
        <v>0.1</v>
      </c>
      <c r="S17" s="48">
        <f>角色!T17+VLOOKUP($V17,弧盘!$A$2:$AF$51,弧盘!$L$1,FALSE)+VLOOKUP($X17,卡带!A$3:F$15,卡带!$F$1,FALSE)+IF($AD17="充能",$AC17%*$AF17,0)</f>
        <v>0</v>
      </c>
      <c r="T17" s="49">
        <f>角色!U17+VLOOKUP($V17,弧盘!$A$2:$AF$51,弧盘!M$1,FALSE)+VLOOKUP($X17,卡带!$A$2:$V$14,卡带!G$1,FALSE)+IF($AB17="精通",中间!$M$5,0)+IF($AD17="精通",$AC17%*$AF17,0)+AJ17</f>
        <v>0</v>
      </c>
      <c r="U17" s="49">
        <f>角色!V17+VLOOKUP($V17,弧盘!$A$2:$AF$51,弧盘!N$1,FALSE)+VLOOKUP($X17,卡带!$A$2:$V$14,卡带!H$1,FALSE)+IF($AB17="倾陷",中间!$M$6,0)+AK17</f>
        <v>0</v>
      </c>
      <c r="V17" s="50" t="s">
        <v>172</v>
      </c>
      <c r="W17" s="46" t="str">
        <f>IFERROR(VLOOKUP(V17,弧盘!$A$2:O65,弧盘!$O$1,FALSE),"")</f>
        <v>Q后22.5E伤，每次额外提升15</v>
      </c>
      <c r="X17" s="50" t="s">
        <v>173</v>
      </c>
      <c r="Y17" s="46" t="str">
        <f>IFERROR(VLOOKUP(X17,卡带!$A$2:$J$14,卡带!$J$1,FALSE),"")</f>
        <v>10相伤；相反应28暴击，15秒</v>
      </c>
      <c r="Z17" s="45">
        <v>10</v>
      </c>
      <c r="AA17" s="45">
        <f t="shared" si="7"/>
        <v>1.99900462710443</v>
      </c>
      <c r="AB17" s="51" t="s">
        <v>135</v>
      </c>
      <c r="AC17" s="44">
        <v>10</v>
      </c>
      <c r="AD17" s="44" t="s">
        <v>132</v>
      </c>
      <c r="AE17" s="44" t="str">
        <f t="shared" si="12"/>
        <v>10攻击</v>
      </c>
      <c r="AF17" s="51">
        <v>4</v>
      </c>
      <c r="AG17" s="52">
        <v>0.15</v>
      </c>
      <c r="AH17" s="52">
        <v>0.15</v>
      </c>
      <c r="AI17" s="52">
        <v>0.3</v>
      </c>
      <c r="AL17" s="48">
        <f>15*1.25%</f>
        <v>0.1875</v>
      </c>
      <c r="AN17" s="52"/>
      <c r="AP17" s="52"/>
      <c r="AR17" s="54"/>
      <c r="AS17" s="54"/>
      <c r="AT17" s="54"/>
      <c r="AU17" s="54"/>
      <c r="AV17" s="54"/>
      <c r="AW17" s="54"/>
      <c r="AX17" s="44">
        <f t="shared" si="9"/>
        <v>0</v>
      </c>
      <c r="AY17" s="44" t="b">
        <f t="shared" si="10"/>
        <v>0</v>
      </c>
      <c r="AZ17" s="44" t="b">
        <f t="shared" si="11"/>
        <v>0</v>
      </c>
    </row>
    <row r="18" customHeight="1" spans="1:52">
      <c r="A18" s="44" t="s">
        <v>174</v>
      </c>
      <c r="B18" s="44" t="str">
        <f>角色!B18</f>
        <v>相</v>
      </c>
      <c r="C18" s="44" t="s">
        <v>139</v>
      </c>
      <c r="D18" s="44">
        <f>角色!D18+VLOOKUP($V18,弧盘!$A$2:$C$51,弧盘!$B$1,FALSE)</f>
        <v>1031.5</v>
      </c>
      <c r="E18" s="44">
        <f>角色!L18+VLOOKUP($V18,弧盘!$A$2:$AF$51,弧盘!$I$1,FALSE)+VLOOKUP($X18,卡带!$A$2:$V$14,卡带!$C$1,FALSE)+IF($AB18="攻击",中间!$M$7,0)+IF($AD18="攻击",$AF18*$AC18%,0)+AL18</f>
        <v>0.5875</v>
      </c>
      <c r="F18" s="47">
        <f>AM18+角色!M18+中间!$L$20</f>
        <v>420</v>
      </c>
      <c r="G18" s="47">
        <f t="shared" si="4"/>
        <v>2057.50625</v>
      </c>
      <c r="H18" s="44">
        <f>角色!F18</f>
        <v>13332</v>
      </c>
      <c r="I18" s="44">
        <f>角色!N18+VLOOKUP($V18,弧盘!$A$2:$AF$51,弧盘!$J$1,FALSE)+VLOOKUP($X18,卡带!$A$2:$V$14,卡带!$D$1,FALSE)+IF($AB18="生命",中间!$M$8,0)+IF($AD18="生命",$AF18*$AC18%,0)+AN18</f>
        <v>0</v>
      </c>
      <c r="J18" s="47">
        <f>AO18+角色!O18+中间!$L$21</f>
        <v>5200</v>
      </c>
      <c r="K18" s="47">
        <f t="shared" si="5"/>
        <v>18532</v>
      </c>
      <c r="L18" s="44">
        <f>角色!H18</f>
        <v>666.6</v>
      </c>
      <c r="M18" s="44">
        <f>角色!P18+VLOOKUP($V18,弧盘!$A$2:$AF$51,弧盘!$K$1,FALSE)+VLOOKUP($X18,卡带!$A$2:$V$14,卡带!$E$1,FALSE)+IF($AB18="防御",中间!$M$9,0)+IF($AD18="防御",$AF18*$AC18%,0)+AR18</f>
        <v>1</v>
      </c>
      <c r="N18" s="47">
        <f>AQ18+角色!Q18</f>
        <v>0</v>
      </c>
      <c r="O18" s="47">
        <f t="shared" si="6"/>
        <v>1333.2</v>
      </c>
      <c r="P18" s="48">
        <f>角色!J18+VLOOKUP($V18,弧盘!$A$2:$AF$51,弧盘!$G$1,FALSE)+IF(AB18="暴击",中间!$M$3,0)+AH18+IF($AD18="暴击",$AC18%*$AF18,0)</f>
        <v>0.6</v>
      </c>
      <c r="Q18" s="48">
        <f>角色!K18+VLOOKUP($V18,弧盘!$A$2:$AF$51,弧盘!$H$1,FALSE)+IF(AB18="暴伤",中间!$M$4,0)+IF($AD18="暴伤",$AC18%*$AF18,0)+AI18</f>
        <v>1.2</v>
      </c>
      <c r="R18" s="48">
        <f>角色!X18+VLOOKUP($X18,卡带!A$3:B$15,卡带!$B$1,FALSE)+IF(AB18="属伤",中间!$M$2,0)+IF($AD18="属伤",$AC18%*$AF18,0)</f>
        <v>0.1</v>
      </c>
      <c r="S18" s="48">
        <f>角色!T18+VLOOKUP($V18,弧盘!$A$2:$AF$51,弧盘!$L$1,FALSE)+VLOOKUP($X18,卡带!A$3:F$15,卡带!$F$1,FALSE)+IF($AD18="充能",$AC18%*$AF18,0)</f>
        <v>0</v>
      </c>
      <c r="T18" s="49">
        <f>角色!U18+VLOOKUP($V18,弧盘!$A$2:$AF$51,弧盘!M$1,FALSE)+VLOOKUP($X18,卡带!$A$2:$V$14,卡带!G$1,FALSE)+IF($AB18="精通",中间!$M$5,0)+IF($AD18="精通",$AC18%*$AF18,0)+AJ18</f>
        <v>0</v>
      </c>
      <c r="U18" s="49">
        <f>角色!V18+VLOOKUP($V18,弧盘!$A$2:$AF$51,弧盘!N$1,FALSE)+VLOOKUP($X18,卡带!$A$2:$V$14,卡带!H$1,FALSE)+IF($AB18="倾陷",中间!$M$6,0)+AK18</f>
        <v>0</v>
      </c>
      <c r="V18" s="50" t="s">
        <v>175</v>
      </c>
      <c r="W18" s="46" t="str">
        <f>IFERROR(VLOOKUP(V18,弧盘!$A$2:O66,弧盘!$O$1,FALSE),"")</f>
        <v>E后18%攻击力，相环合敌人下，额外18%相伤，持续15秒</v>
      </c>
      <c r="X18" s="50" t="s">
        <v>173</v>
      </c>
      <c r="Y18" s="46" t="str">
        <f>IFERROR(VLOOKUP(X18,卡带!$A$2:$J$14,卡带!$J$1,FALSE),"")</f>
        <v>10相伤；相反应28暴击，15秒</v>
      </c>
      <c r="Z18" s="45">
        <v>10</v>
      </c>
      <c r="AA18" s="45">
        <f t="shared" si="7"/>
        <v>2.15892499727279</v>
      </c>
      <c r="AB18" s="51" t="s">
        <v>135</v>
      </c>
      <c r="AC18" s="44">
        <v>10</v>
      </c>
      <c r="AD18" s="44" t="s">
        <v>132</v>
      </c>
      <c r="AE18" s="44" t="str">
        <f t="shared" si="12"/>
        <v>10攻击</v>
      </c>
      <c r="AF18" s="51">
        <v>4</v>
      </c>
      <c r="AG18" s="52">
        <v>0.15</v>
      </c>
      <c r="AH18" s="52">
        <v>0.15</v>
      </c>
      <c r="AI18" s="52">
        <v>0.3</v>
      </c>
      <c r="AL18" s="48">
        <f>15*1.25%</f>
        <v>0.1875</v>
      </c>
      <c r="AN18" s="52"/>
      <c r="AP18" s="52"/>
      <c r="AR18" s="44" t="b">
        <v>1</v>
      </c>
      <c r="AS18" s="44" t="b">
        <v>1</v>
      </c>
      <c r="AT18" s="44" t="b">
        <v>1</v>
      </c>
      <c r="AU18" s="44" t="b">
        <v>1</v>
      </c>
      <c r="AV18" s="53" t="b">
        <v>1</v>
      </c>
      <c r="AW18" s="54" t="b">
        <v>1</v>
      </c>
      <c r="AX18" s="44">
        <f t="shared" si="9"/>
        <v>6</v>
      </c>
      <c r="AY18" s="44" t="b">
        <f t="shared" si="10"/>
        <v>1</v>
      </c>
      <c r="AZ18" s="53" t="b">
        <f t="shared" si="11"/>
        <v>1</v>
      </c>
    </row>
    <row r="19" customHeight="1" spans="1:52">
      <c r="AP19" s="52"/>
    </row>
  </sheetData>
  <conditionalFormatting sqref="AY3:AZ11 AY12 AY13:AZ15 AY16 AY17:AZ17 AY18">
    <cfRule type="cellIs" dxfId="0" priority="1" operator="equal">
      <formula>FALSE</formula>
    </cfRule>
  </conditionalFormatting>
  <dataValidations count="4">
    <dataValidation type="list" allowBlank="1" showInputMessage="1" showErrorMessage="1" sqref="V3:V18">
      <formula1>弧盘下拉</formula1>
    </dataValidation>
    <dataValidation type="list" showInputMessage="1" showErrorMessage="1" sqref="X3:X18">
      <formula1>卡带!$A$3:$A$15</formula1>
    </dataValidation>
    <dataValidation type="list" allowBlank="1" showInputMessage="1" showErrorMessage="1" sqref="AB3:AB18">
      <formula1>中间!$K$2:$K$10</formula1>
    </dataValidation>
    <dataValidation type="list" allowBlank="1" showInputMessage="1" showErrorMessage="1" sqref="AR3:AW18">
      <formula1>"TRUE"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zoomScale="110" zoomScaleNormal="110" workbookViewId="0">
      <selection activeCell="O8" sqref="O8"/>
    </sheetView>
  </sheetViews>
  <sheetFormatPr defaultColWidth="8.73076923076923" defaultRowHeight="16.8"/>
  <cols>
    <col min="1" max="1" width="17.7884615384615" style="2" customWidth="1"/>
    <col min="2" max="5" width="8.73076923076923" style="2"/>
    <col min="6" max="6" width="11" style="2"/>
    <col min="7" max="16384" width="8.73076923076923" style="2"/>
  </cols>
  <sheetData>
    <row r="1" spans="1:17">
      <c r="A1" s="2" t="s">
        <v>176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132</v>
      </c>
      <c r="G1" s="2" t="s">
        <v>181</v>
      </c>
      <c r="H1" s="2" t="s">
        <v>146</v>
      </c>
      <c r="I1" s="2" t="s">
        <v>182</v>
      </c>
      <c r="J1" s="2" t="s">
        <v>161</v>
      </c>
      <c r="K1" s="2" t="s">
        <v>131</v>
      </c>
      <c r="L1" s="2" t="s">
        <v>183</v>
      </c>
      <c r="M1" s="2" t="s">
        <v>184</v>
      </c>
      <c r="N1" s="2" t="s">
        <v>185</v>
      </c>
      <c r="O1" s="2" t="s">
        <v>186</v>
      </c>
      <c r="P1" s="2" t="s">
        <v>135</v>
      </c>
      <c r="Q1" s="2" t="s">
        <v>187</v>
      </c>
    </row>
    <row r="2" s="32" customFormat="1" spans="1:17">
      <c r="B2" s="36"/>
      <c r="C2" s="36"/>
      <c r="D2" s="36"/>
      <c r="E2" s="36"/>
      <c r="F2" s="37"/>
      <c r="G2" s="37"/>
      <c r="H2" s="37"/>
      <c r="I2" s="37"/>
      <c r="J2" s="37"/>
      <c r="K2" s="37"/>
      <c r="L2" s="36"/>
      <c r="M2" s="36"/>
      <c r="N2" s="36"/>
      <c r="O2" s="36"/>
      <c r="P2" s="36"/>
      <c r="Q2" s="36"/>
    </row>
    <row r="3" s="32" customFormat="1" spans="1:17">
      <c r="A3" s="32" t="s">
        <v>188</v>
      </c>
      <c r="B3" s="36"/>
      <c r="C3" s="36"/>
      <c r="D3" s="36"/>
      <c r="E3" s="36"/>
      <c r="F3" s="37"/>
      <c r="G3" s="37"/>
      <c r="H3" s="37"/>
      <c r="I3" s="37"/>
      <c r="J3" s="37"/>
      <c r="K3" s="37"/>
      <c r="L3" s="36"/>
      <c r="M3" s="36">
        <v>0.2</v>
      </c>
      <c r="N3" s="36">
        <v>-0.6</v>
      </c>
      <c r="O3" s="36"/>
      <c r="P3" s="36"/>
      <c r="Q3" s="36"/>
    </row>
    <row r="4" s="32" customFormat="1" spans="1:17">
      <c r="A4" s="32" t="s">
        <v>189</v>
      </c>
      <c r="B4" s="36"/>
      <c r="C4" s="36"/>
      <c r="D4" s="36"/>
      <c r="E4" s="36">
        <v>0.1</v>
      </c>
      <c r="F4" s="37"/>
      <c r="G4" s="37"/>
      <c r="H4" s="37"/>
      <c r="I4" s="37"/>
      <c r="J4" s="37"/>
      <c r="K4" s="37"/>
      <c r="L4" s="36"/>
      <c r="M4" s="36"/>
      <c r="N4" s="36"/>
      <c r="O4" s="36"/>
      <c r="P4" s="36"/>
      <c r="Q4" s="36"/>
    </row>
    <row r="5" s="32" customFormat="1" spans="1:17">
      <c r="A5" s="32" t="s">
        <v>57</v>
      </c>
      <c r="B5" s="36"/>
      <c r="C5" s="36"/>
      <c r="D5" s="36"/>
      <c r="E5" s="36"/>
      <c r="F5" s="37"/>
      <c r="G5" s="37"/>
      <c r="H5" s="37"/>
      <c r="I5" s="37"/>
      <c r="J5" s="37"/>
      <c r="K5" s="37"/>
      <c r="L5" s="36"/>
      <c r="M5" s="36"/>
      <c r="N5" s="36"/>
      <c r="O5" s="36"/>
      <c r="P5" s="36"/>
      <c r="Q5" s="36">
        <v>0.3</v>
      </c>
    </row>
    <row r="6" s="32" customFormat="1" spans="1:17">
      <c r="A6" s="32" t="s">
        <v>190</v>
      </c>
      <c r="B6" s="36"/>
      <c r="C6" s="36"/>
      <c r="D6" s="36"/>
      <c r="E6" s="36">
        <v>0.9</v>
      </c>
      <c r="F6" s="37"/>
      <c r="G6" s="37"/>
      <c r="H6" s="37"/>
      <c r="I6" s="37"/>
      <c r="J6" s="37"/>
      <c r="K6" s="37"/>
      <c r="L6" s="36"/>
      <c r="M6" s="36"/>
      <c r="N6" s="36"/>
      <c r="O6" s="36"/>
      <c r="P6" s="36"/>
      <c r="Q6" s="36"/>
    </row>
    <row r="7" s="32" customFormat="1" spans="1:17">
      <c r="A7" s="32" t="s">
        <v>191</v>
      </c>
      <c r="B7" s="36"/>
      <c r="C7" s="36"/>
      <c r="D7" s="36"/>
      <c r="E7" s="36"/>
      <c r="F7" s="37"/>
      <c r="G7" s="37"/>
      <c r="H7" s="37"/>
      <c r="I7" s="37"/>
      <c r="J7" s="37"/>
      <c r="K7" s="37"/>
      <c r="L7" s="36"/>
      <c r="M7" s="36"/>
      <c r="N7" s="36"/>
      <c r="O7" s="36">
        <f>IF(配装!AV16,30%,0)</f>
        <v>0.3</v>
      </c>
      <c r="P7" s="36">
        <f>IF(配装!AT16,20%,0)</f>
        <v>0.2</v>
      </c>
      <c r="Q7" s="36"/>
    </row>
    <row r="8" s="32" customFormat="1" spans="1:17">
      <c r="A8" s="32" t="s">
        <v>192</v>
      </c>
      <c r="B8" s="36"/>
      <c r="C8" s="36"/>
      <c r="D8" s="36"/>
      <c r="E8" s="36"/>
      <c r="F8" s="37"/>
      <c r="G8" s="37"/>
      <c r="H8" s="37"/>
      <c r="I8" s="37"/>
      <c r="J8" s="37"/>
      <c r="K8" s="37"/>
      <c r="L8" s="36"/>
      <c r="M8" s="36"/>
      <c r="N8" s="36"/>
      <c r="O8" s="36">
        <f>IF(配装!$AR$12,IF(配装!$AS$12,3%,2%)*20,0)</f>
        <v>0.6</v>
      </c>
      <c r="P8" s="36"/>
      <c r="Q8" s="36"/>
    </row>
    <row r="9" s="32" customFormat="1" spans="1:17">
      <c r="A9" s="32" t="s">
        <v>58</v>
      </c>
      <c r="B9" s="36"/>
      <c r="C9" s="36"/>
      <c r="D9" s="36"/>
      <c r="E9" s="36"/>
      <c r="F9" s="37"/>
      <c r="G9" s="37"/>
      <c r="H9" s="37"/>
      <c r="I9" s="37"/>
      <c r="J9" s="37"/>
      <c r="K9" s="37"/>
      <c r="L9" s="36"/>
      <c r="M9" s="36"/>
      <c r="N9" s="36"/>
      <c r="O9" s="36">
        <f>IF(配装!$AR$12,IF(配装!$AS$12,3%,2%)*20,0)+10%</f>
        <v>0.7</v>
      </c>
      <c r="P9" s="36"/>
      <c r="Q9" s="36"/>
    </row>
    <row r="10" s="32" customFormat="1" spans="1:17">
      <c r="A10" s="32" t="s">
        <v>193</v>
      </c>
      <c r="B10" s="36"/>
      <c r="C10" s="36"/>
      <c r="D10" s="36"/>
      <c r="E10" s="36">
        <v>0.15</v>
      </c>
      <c r="F10" s="37"/>
      <c r="G10" s="37"/>
      <c r="H10" s="37"/>
      <c r="I10" s="37"/>
      <c r="J10" s="37"/>
      <c r="K10" s="37"/>
      <c r="L10" s="36"/>
      <c r="M10" s="36"/>
      <c r="N10" s="36"/>
      <c r="O10" s="36"/>
      <c r="P10" s="36"/>
      <c r="Q10" s="36"/>
    </row>
    <row r="11" s="32" customFormat="1" spans="1:17">
      <c r="A11" s="32" t="s">
        <v>194</v>
      </c>
      <c r="B11" s="36"/>
      <c r="C11" s="36"/>
      <c r="D11" s="36"/>
      <c r="E11" s="36"/>
      <c r="F11" s="37"/>
      <c r="G11" s="37"/>
      <c r="H11" s="37"/>
      <c r="I11" s="37"/>
      <c r="J11" s="37"/>
      <c r="K11" s="37"/>
      <c r="L11" s="36"/>
      <c r="M11" s="36"/>
      <c r="N11" s="36"/>
      <c r="O11" s="36">
        <v>0.15</v>
      </c>
      <c r="P11" s="36"/>
      <c r="Q11" s="36"/>
    </row>
    <row r="12" s="33" customFormat="1" spans="1:17">
      <c r="B12" s="38"/>
      <c r="C12" s="38"/>
      <c r="D12" s="38"/>
      <c r="E12" s="38"/>
      <c r="F12" s="39"/>
      <c r="G12" s="39"/>
      <c r="H12" s="39"/>
      <c r="I12" s="39"/>
      <c r="J12" s="39"/>
      <c r="K12" s="39"/>
      <c r="L12" s="38"/>
      <c r="M12" s="38"/>
      <c r="N12" s="38"/>
      <c r="O12" s="38"/>
      <c r="P12" s="38"/>
      <c r="Q12" s="38"/>
    </row>
    <row r="13" s="33" customFormat="1" spans="1:17">
      <c r="A13" s="33" t="s">
        <v>195</v>
      </c>
      <c r="B13" s="38"/>
      <c r="C13" s="38"/>
      <c r="D13" s="38"/>
      <c r="E13" s="38">
        <v>0.1</v>
      </c>
      <c r="F13" s="39"/>
      <c r="G13" s="39"/>
      <c r="H13" s="39"/>
      <c r="I13" s="39"/>
      <c r="J13" s="39"/>
      <c r="K13" s="39"/>
      <c r="L13" s="38"/>
      <c r="M13" s="38"/>
      <c r="N13" s="38"/>
      <c r="O13" s="38"/>
      <c r="P13" s="38"/>
      <c r="Q13" s="38"/>
    </row>
    <row r="14" s="33" customFormat="1" spans="1:17">
      <c r="A14" s="33" t="s">
        <v>196</v>
      </c>
      <c r="B14" s="38">
        <f>25%*云配队!H13</f>
        <v>0</v>
      </c>
      <c r="C14" s="38"/>
      <c r="D14" s="38"/>
      <c r="E14" s="38"/>
      <c r="F14" s="39"/>
      <c r="G14" s="39"/>
      <c r="H14" s="39"/>
      <c r="I14" s="39"/>
      <c r="J14" s="39"/>
      <c r="K14" s="39"/>
      <c r="L14" s="38"/>
      <c r="M14" s="38"/>
      <c r="N14" s="38"/>
      <c r="O14" s="38"/>
      <c r="P14" s="38"/>
      <c r="Q14" s="38"/>
    </row>
    <row r="15" s="33" customFormat="1" spans="1:17">
      <c r="A15" s="33" t="s">
        <v>197</v>
      </c>
      <c r="B15" s="38"/>
      <c r="C15" s="38"/>
      <c r="D15" s="38"/>
      <c r="E15" s="38"/>
      <c r="F15" s="39">
        <f>IF(配装!AU11,60%,30%)*配装!D11</f>
        <v>328.23</v>
      </c>
      <c r="G15" s="39"/>
      <c r="H15" s="39"/>
      <c r="I15" s="39"/>
      <c r="J15" s="39"/>
      <c r="K15" s="39"/>
      <c r="L15" s="38"/>
      <c r="M15" s="38"/>
      <c r="N15" s="38"/>
      <c r="O15" s="38"/>
      <c r="P15" s="38"/>
      <c r="Q15" s="38"/>
    </row>
    <row r="16" s="33" customFormat="1" spans="1:17">
      <c r="A16" s="33" t="s">
        <v>198</v>
      </c>
      <c r="B16" s="38"/>
      <c r="C16" s="38"/>
      <c r="D16" s="38"/>
      <c r="E16" s="38"/>
      <c r="F16" s="39">
        <f>22%*配装!$D$16</f>
        <v>221.078</v>
      </c>
      <c r="G16" s="39"/>
      <c r="H16" s="39"/>
      <c r="I16" s="39"/>
      <c r="J16" s="39"/>
      <c r="K16" s="39"/>
      <c r="L16" s="38"/>
      <c r="M16" s="38"/>
      <c r="N16" s="38"/>
      <c r="O16" s="38"/>
      <c r="P16" s="38"/>
      <c r="Q16" s="38"/>
    </row>
    <row r="17" s="33" customFormat="1" spans="1:17">
      <c r="A17" s="33" t="s">
        <v>199</v>
      </c>
      <c r="B17" s="38"/>
      <c r="C17" s="38"/>
      <c r="D17" s="38"/>
      <c r="E17" s="38"/>
      <c r="F17" s="39">
        <f>22%*配装!$D$16</f>
        <v>221.078</v>
      </c>
      <c r="G17" s="39"/>
      <c r="H17" s="39"/>
      <c r="I17" s="39"/>
      <c r="J17" s="39"/>
      <c r="K17" s="39"/>
      <c r="L17" s="38"/>
      <c r="M17" s="38"/>
      <c r="N17" s="38"/>
      <c r="O17" s="38"/>
      <c r="P17" s="38"/>
      <c r="Q17" s="38">
        <f>IF(配装!AZ16,12%,0)</f>
        <v>0.12</v>
      </c>
    </row>
    <row r="18" s="33" customFormat="1" spans="1:17">
      <c r="A18" s="33" t="s">
        <v>200</v>
      </c>
      <c r="B18" s="38"/>
      <c r="C18" s="38"/>
      <c r="D18" s="38"/>
      <c r="E18" s="38"/>
      <c r="F18" s="39">
        <f>16%*配装!$D$16</f>
        <v>160.784</v>
      </c>
      <c r="G18" s="39"/>
      <c r="H18" s="39"/>
      <c r="I18" s="39"/>
      <c r="J18" s="39"/>
      <c r="K18" s="39"/>
      <c r="L18" s="38"/>
      <c r="M18" s="38"/>
      <c r="N18" s="38"/>
      <c r="O18" s="38"/>
      <c r="P18" s="38"/>
      <c r="Q18" s="38"/>
    </row>
    <row r="19" s="33" customFormat="1" spans="1:17">
      <c r="A19" s="33" t="s">
        <v>201</v>
      </c>
      <c r="B19" s="38"/>
      <c r="C19" s="38"/>
      <c r="D19" s="38">
        <v>0.0333</v>
      </c>
      <c r="E19" s="38"/>
      <c r="F19" s="39"/>
      <c r="G19" s="39"/>
      <c r="H19" s="39"/>
      <c r="I19" s="39"/>
      <c r="J19" s="39"/>
      <c r="K19" s="39"/>
      <c r="L19" s="38">
        <v>0.0333</v>
      </c>
      <c r="M19" s="38"/>
      <c r="N19" s="38"/>
      <c r="O19" s="38"/>
      <c r="P19" s="38"/>
      <c r="Q19" s="38"/>
    </row>
    <row r="20" s="33" customFormat="1" spans="1:17">
      <c r="A20" s="33" t="s">
        <v>202</v>
      </c>
      <c r="B20" s="38"/>
      <c r="C20" s="38"/>
      <c r="D20" s="38"/>
      <c r="E20" s="38"/>
      <c r="F20" s="39"/>
      <c r="G20" s="39"/>
      <c r="H20" s="39"/>
      <c r="I20" s="39"/>
      <c r="J20" s="39"/>
      <c r="K20" s="39"/>
      <c r="L20" s="38"/>
      <c r="M20" s="38"/>
      <c r="N20" s="38"/>
      <c r="O20" s="38">
        <v>0.1</v>
      </c>
      <c r="P20" s="38"/>
      <c r="Q20" s="38"/>
    </row>
    <row r="21" s="33" customFormat="1" spans="1:17">
      <c r="A21" s="33" t="s">
        <v>203</v>
      </c>
      <c r="B21" s="38"/>
      <c r="C21" s="38"/>
      <c r="D21" s="38"/>
      <c r="E21" s="38"/>
      <c r="F21" s="39"/>
      <c r="G21" s="39"/>
      <c r="H21" s="39"/>
      <c r="I21" s="39"/>
      <c r="J21" s="39"/>
      <c r="K21" s="39"/>
      <c r="L21" s="38"/>
      <c r="M21" s="38"/>
      <c r="N21" s="38"/>
      <c r="O21" s="38">
        <v>0.15</v>
      </c>
      <c r="P21" s="38"/>
      <c r="Q21" s="38"/>
    </row>
    <row r="22" s="33" customFormat="1" spans="1:17">
      <c r="A22" s="33" t="s">
        <v>204</v>
      </c>
      <c r="B22" s="38"/>
      <c r="C22" s="38"/>
      <c r="D22" s="38">
        <v>0.06</v>
      </c>
      <c r="E22" s="38"/>
      <c r="F22" s="39"/>
      <c r="G22" s="39"/>
      <c r="H22" s="39"/>
      <c r="I22" s="39"/>
      <c r="J22" s="39"/>
      <c r="K22" s="39"/>
      <c r="L22" s="38"/>
      <c r="M22" s="38"/>
      <c r="N22" s="38"/>
      <c r="O22" s="38">
        <v>0.15</v>
      </c>
      <c r="P22" s="38"/>
      <c r="Q22" s="38"/>
    </row>
    <row r="23" s="34" customFormat="1" spans="1:17">
      <c r="B23" s="40"/>
      <c r="C23" s="40"/>
      <c r="D23" s="40"/>
      <c r="E23" s="40"/>
      <c r="F23" s="41"/>
      <c r="G23" s="41"/>
      <c r="H23" s="41"/>
      <c r="I23" s="41"/>
      <c r="J23" s="41"/>
      <c r="K23" s="41"/>
      <c r="L23" s="40"/>
      <c r="M23" s="40"/>
      <c r="N23" s="40"/>
      <c r="O23" s="40"/>
      <c r="P23" s="40"/>
      <c r="Q23" s="40"/>
    </row>
    <row r="24" s="34" customFormat="1" spans="1:17">
      <c r="A24" s="34" t="s">
        <v>68</v>
      </c>
      <c r="B24" s="40"/>
      <c r="C24" s="40">
        <v>0.25</v>
      </c>
      <c r="D24" s="40"/>
      <c r="E24" s="40"/>
      <c r="F24" s="41"/>
      <c r="G24" s="41"/>
      <c r="H24" s="41"/>
      <c r="I24" s="41"/>
      <c r="J24" s="41"/>
      <c r="K24" s="41"/>
      <c r="L24" s="40"/>
      <c r="M24" s="40"/>
      <c r="N24" s="40"/>
      <c r="O24" s="40"/>
      <c r="P24" s="40"/>
      <c r="Q24" s="40"/>
    </row>
    <row r="25" s="34" customFormat="1" spans="1:17">
      <c r="A25" s="34" t="s">
        <v>205</v>
      </c>
      <c r="B25" s="40"/>
      <c r="C25" s="40"/>
      <c r="D25" s="40">
        <v>0.12</v>
      </c>
      <c r="E25" s="40"/>
      <c r="F25" s="41"/>
      <c r="G25" s="41"/>
      <c r="H25" s="41"/>
      <c r="I25" s="41"/>
      <c r="J25" s="41"/>
      <c r="K25" s="41"/>
      <c r="L25" s="40"/>
      <c r="M25" s="40"/>
      <c r="N25" s="40"/>
      <c r="O25" s="40"/>
      <c r="P25" s="40"/>
      <c r="Q25" s="40"/>
    </row>
    <row r="26" s="34" customFormat="1" spans="1:17">
      <c r="A26" s="34" t="s">
        <v>206</v>
      </c>
      <c r="B26" s="40"/>
      <c r="C26" s="40"/>
      <c r="D26" s="40">
        <v>0.24</v>
      </c>
      <c r="E26" s="40"/>
      <c r="F26" s="41"/>
      <c r="G26" s="41"/>
      <c r="H26" s="41"/>
      <c r="I26" s="41"/>
      <c r="J26" s="41"/>
      <c r="K26" s="41"/>
      <c r="L26" s="40"/>
      <c r="M26" s="40"/>
      <c r="N26" s="40"/>
      <c r="O26" s="40"/>
      <c r="P26" s="40"/>
      <c r="Q26" s="40"/>
    </row>
    <row r="27" s="34" customFormat="1" spans="1:17">
      <c r="A27" s="34" t="s">
        <v>70</v>
      </c>
      <c r="B27" s="40"/>
      <c r="C27" s="40"/>
      <c r="D27" s="40"/>
      <c r="E27" s="40">
        <v>0.15</v>
      </c>
      <c r="F27" s="41"/>
      <c r="G27" s="41"/>
      <c r="H27" s="41"/>
      <c r="I27" s="41"/>
      <c r="J27" s="41"/>
      <c r="K27" s="41"/>
      <c r="L27" s="40"/>
      <c r="M27" s="40"/>
      <c r="N27" s="40"/>
      <c r="O27" s="40"/>
      <c r="P27" s="40"/>
      <c r="Q27" s="40"/>
    </row>
    <row r="28" s="35" customFormat="1" spans="1:17">
      <c r="B28" s="42"/>
      <c r="C28" s="42"/>
      <c r="D28" s="42"/>
      <c r="E28" s="42"/>
      <c r="F28" s="43"/>
      <c r="G28" s="43"/>
      <c r="H28" s="43"/>
      <c r="I28" s="43"/>
      <c r="J28" s="43"/>
      <c r="K28" s="43"/>
      <c r="L28" s="42"/>
      <c r="M28" s="42"/>
      <c r="N28" s="42"/>
      <c r="O28" s="42"/>
      <c r="P28" s="42"/>
      <c r="Q28" s="42"/>
    </row>
    <row r="29" s="35" customFormat="1" spans="1:17">
      <c r="A29" s="35" t="s">
        <v>207</v>
      </c>
      <c r="B29" s="42"/>
      <c r="C29" s="42"/>
      <c r="D29" s="42"/>
      <c r="E29" s="42">
        <v>0.1</v>
      </c>
      <c r="F29" s="43"/>
      <c r="G29" s="43"/>
      <c r="H29" s="43"/>
      <c r="I29" s="43"/>
      <c r="J29" s="43"/>
      <c r="K29" s="43"/>
      <c r="L29" s="42"/>
      <c r="M29" s="42"/>
      <c r="N29" s="42"/>
      <c r="O29" s="42"/>
      <c r="P29" s="42"/>
      <c r="Q29" s="42"/>
    </row>
    <row r="30" s="35" customFormat="1" spans="1:17">
      <c r="A30" s="35" t="s">
        <v>208</v>
      </c>
      <c r="B30" s="42"/>
      <c r="C30" s="42"/>
      <c r="D30" s="42"/>
      <c r="E30" s="42">
        <v>0.16</v>
      </c>
      <c r="F30" s="43"/>
      <c r="G30" s="43"/>
      <c r="H30" s="43"/>
      <c r="I30" s="43"/>
      <c r="J30" s="43"/>
      <c r="K30" s="43"/>
      <c r="L30" s="42"/>
      <c r="M30" s="42"/>
      <c r="N30" s="42"/>
      <c r="O30" s="42"/>
      <c r="P30" s="42"/>
      <c r="Q30" s="42"/>
    </row>
    <row r="31" s="35" customFormat="1" spans="1:17">
      <c r="A31" s="35" t="s">
        <v>209</v>
      </c>
      <c r="B31" s="42"/>
      <c r="C31" s="42"/>
      <c r="D31" s="42"/>
      <c r="E31" s="42">
        <f>(10%+18%)/2</f>
        <v>0.14</v>
      </c>
      <c r="F31" s="43"/>
      <c r="G31" s="43"/>
      <c r="H31" s="43"/>
      <c r="I31" s="43"/>
      <c r="J31" s="43"/>
      <c r="K31" s="43"/>
      <c r="L31" s="42"/>
      <c r="M31" s="42"/>
      <c r="N31" s="42"/>
      <c r="O31" s="42"/>
      <c r="P31" s="42"/>
      <c r="Q31" s="42"/>
    </row>
    <row r="32" s="35" customFormat="1" spans="1:17">
      <c r="A32" s="35" t="s">
        <v>210</v>
      </c>
      <c r="B32" s="42"/>
      <c r="C32" s="42"/>
      <c r="D32" s="42"/>
      <c r="E32" s="42">
        <v>0.1</v>
      </c>
      <c r="F32" s="43"/>
      <c r="G32" s="43"/>
      <c r="H32" s="43"/>
      <c r="I32" s="43"/>
      <c r="J32" s="43"/>
      <c r="K32" s="43"/>
      <c r="L32" s="42"/>
      <c r="M32" s="42"/>
      <c r="N32" s="42"/>
      <c r="O32" s="42"/>
      <c r="P32" s="42"/>
      <c r="Q32" s="42"/>
    </row>
    <row r="33" s="35" customFormat="1" spans="1:17">
      <c r="A33" s="35" t="s">
        <v>211</v>
      </c>
      <c r="B33" s="42"/>
      <c r="C33" s="42"/>
      <c r="D33" s="42"/>
      <c r="E33" s="42">
        <v>0.16</v>
      </c>
      <c r="F33" s="43"/>
      <c r="G33" s="43"/>
      <c r="H33" s="43"/>
      <c r="I33" s="43"/>
      <c r="J33" s="43"/>
      <c r="K33" s="43"/>
      <c r="L33" s="42"/>
      <c r="M33" s="42"/>
      <c r="N33" s="42"/>
      <c r="O33" s="42"/>
      <c r="P33" s="42"/>
      <c r="Q33" s="42"/>
    </row>
    <row r="34" s="35" customFormat="1" spans="1:17">
      <c r="A34" s="35" t="s">
        <v>212</v>
      </c>
      <c r="B34" s="42"/>
      <c r="C34" s="42">
        <v>0.12</v>
      </c>
      <c r="D34" s="42"/>
      <c r="E34" s="42"/>
      <c r="F34" s="43"/>
      <c r="G34" s="43"/>
      <c r="H34" s="43"/>
      <c r="I34" s="43"/>
      <c r="J34" s="43"/>
      <c r="K34" s="43"/>
      <c r="L34" s="42"/>
      <c r="M34" s="42"/>
      <c r="N34" s="42"/>
      <c r="O34" s="42"/>
      <c r="P34" s="42"/>
      <c r="Q34" s="42">
        <v>0.45</v>
      </c>
    </row>
    <row r="35" s="35" customFormat="1" spans="1:17">
      <c r="A35" s="35" t="s">
        <v>75</v>
      </c>
      <c r="B35" s="42"/>
      <c r="C35" s="42"/>
      <c r="D35" s="42"/>
      <c r="E35" s="42"/>
      <c r="F35" s="43"/>
      <c r="G35" s="43"/>
      <c r="H35" s="43"/>
      <c r="I35" s="43"/>
      <c r="J35" s="43"/>
      <c r="K35" s="43"/>
      <c r="L35" s="42"/>
      <c r="M35" s="42"/>
      <c r="N35" s="42"/>
      <c r="O35" s="42">
        <f>15%+IF(中间!$N$2,10%,0)</f>
        <v>0.25</v>
      </c>
      <c r="P35" s="42"/>
      <c r="Q35" s="42"/>
    </row>
    <row r="36" s="35" customFormat="1" spans="1:17">
      <c r="A36" s="35" t="s">
        <v>74</v>
      </c>
      <c r="B36" s="42"/>
      <c r="C36" s="42"/>
      <c r="D36" s="42"/>
      <c r="E36" s="42"/>
      <c r="F36" s="43"/>
      <c r="G36" s="43"/>
      <c r="H36" s="43"/>
      <c r="I36" s="43"/>
      <c r="J36" s="43"/>
      <c r="K36" s="43"/>
      <c r="L36" s="42"/>
      <c r="M36" s="42"/>
      <c r="N36" s="42"/>
      <c r="O36" s="42">
        <f>IF(中间!$N$2,10%,0)</f>
        <v>0.1</v>
      </c>
      <c r="P36" s="42"/>
      <c r="Q36" s="42"/>
    </row>
    <row r="37" s="35" customFormat="1" spans="1:17">
      <c r="A37" s="35" t="s">
        <v>213</v>
      </c>
      <c r="B37" s="42"/>
      <c r="C37" s="42"/>
      <c r="D37" s="42"/>
      <c r="E37" s="42"/>
      <c r="F37" s="43"/>
      <c r="G37" s="43"/>
      <c r="H37" s="43"/>
      <c r="I37" s="43"/>
      <c r="J37" s="43"/>
      <c r="K37" s="43"/>
      <c r="L37" s="42"/>
      <c r="M37" s="42"/>
      <c r="N37" s="42"/>
      <c r="O37" s="42">
        <f>22.5%+15%*1</f>
        <v>0.375</v>
      </c>
      <c r="P37" s="42"/>
      <c r="Q37" s="42"/>
    </row>
    <row r="38" s="35" customFormat="1" spans="1:17">
      <c r="A38" s="35" t="s">
        <v>214</v>
      </c>
      <c r="B38" s="42"/>
      <c r="C38" s="42"/>
      <c r="D38" s="42"/>
      <c r="E38" s="42"/>
      <c r="F38" s="43"/>
      <c r="G38" s="43"/>
      <c r="H38" s="43"/>
      <c r="I38" s="43"/>
      <c r="J38" s="43"/>
      <c r="K38" s="43"/>
      <c r="L38" s="42"/>
      <c r="M38" s="42"/>
      <c r="N38" s="42"/>
      <c r="O38" s="42">
        <f>22.5%+15%*2</f>
        <v>0.525</v>
      </c>
      <c r="P38" s="42"/>
      <c r="Q38" s="42"/>
    </row>
    <row r="39" s="35" customFormat="1" spans="1:17">
      <c r="A39" s="35" t="s">
        <v>215</v>
      </c>
      <c r="B39" s="42"/>
      <c r="C39" s="42"/>
      <c r="D39" s="42"/>
      <c r="E39" s="42"/>
      <c r="F39" s="43"/>
      <c r="G39" s="43"/>
      <c r="H39" s="43"/>
      <c r="I39" s="43"/>
      <c r="J39" s="43"/>
      <c r="K39" s="43"/>
      <c r="L39" s="42"/>
      <c r="M39" s="42"/>
      <c r="N39" s="42"/>
      <c r="O39" s="42">
        <v>0.2</v>
      </c>
      <c r="P39" s="42"/>
      <c r="Q39" s="4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1"/>
  <sheetViews>
    <sheetView zoomScale="110" zoomScaleNormal="110" topLeftCell="H9" workbookViewId="0">
      <selection activeCell="U29" sqref="U29"/>
    </sheetView>
  </sheetViews>
  <sheetFormatPr defaultColWidth="8.73076923076923" defaultRowHeight="16.8"/>
  <cols>
    <col min="1" max="3" width="8.73076923076923" style="2"/>
    <col min="4" max="4" width="9.02884615384615" style="2" customWidth="1"/>
    <col min="5" max="5" width="10" style="2"/>
    <col min="6" max="6" width="9.02884615384615" style="2" customWidth="1"/>
    <col min="7" max="7" width="8.73076923076923" style="2"/>
    <col min="8" max="8" width="9.02884615384615" style="2" customWidth="1"/>
    <col min="9" max="9" width="16.8461538461538" style="2"/>
    <col min="10" max="15" width="8.73076923076923" style="2"/>
    <col min="16" max="19" width="9.13461538461539" style="2" customWidth="1"/>
    <col min="20" max="20" width="9.13461538461539" style="2" hidden="1" customWidth="1"/>
    <col min="21" max="30" width="8.73076923076923" style="2"/>
  </cols>
  <sheetData>
    <row r="1" s="2" customFormat="1" spans="1:29">
      <c r="A1" s="2" t="s">
        <v>216</v>
      </c>
      <c r="D1" s="2" t="s">
        <v>217</v>
      </c>
      <c r="E1" s="2" t="s">
        <v>218</v>
      </c>
      <c r="F1" s="2" t="s">
        <v>219</v>
      </c>
      <c r="G1" s="2" t="s">
        <v>220</v>
      </c>
      <c r="H1" s="15" t="s">
        <v>221</v>
      </c>
      <c r="I1" s="15"/>
      <c r="K1" s="2" t="s">
        <v>222</v>
      </c>
      <c r="L1" s="24" t="s">
        <v>223</v>
      </c>
      <c r="M1" s="2" t="s">
        <v>224</v>
      </c>
      <c r="N1" s="2" t="s">
        <v>225</v>
      </c>
      <c r="O1" s="2" t="s">
        <v>45</v>
      </c>
      <c r="P1" s="2" t="s">
        <v>226</v>
      </c>
      <c r="Q1" s="2" t="s">
        <v>227</v>
      </c>
      <c r="S1" s="2" t="s">
        <v>228</v>
      </c>
      <c r="T1" s="2" t="s">
        <v>229</v>
      </c>
      <c r="U1" s="2" t="s">
        <v>230</v>
      </c>
      <c r="V1" s="2" t="s">
        <v>231</v>
      </c>
      <c r="W1" s="2" t="s">
        <v>232</v>
      </c>
      <c r="X1" s="2" t="s">
        <v>45</v>
      </c>
    </row>
    <row r="2" spans="1:29">
      <c r="A2" s="2" t="s">
        <v>22</v>
      </c>
      <c r="B2" s="2" t="s">
        <v>233</v>
      </c>
      <c r="C2" s="2" t="str">
        <f>云配队!AF4</f>
        <v>娜娜莉</v>
      </c>
      <c r="D2" s="2">
        <f ca="1">SUMIF(计算!$1:$1,"s",计算!4:4)</f>
        <v>235058.873804606</v>
      </c>
      <c r="E2" s="2">
        <f ca="1">SUMIF(计算!$1:$1,"q",计算!4:4)</f>
        <v>16.523</v>
      </c>
      <c r="F2" s="2">
        <f ca="1">SUMIF(计算!$1:$1,"y",计算!4:4)</f>
        <v>76.3986</v>
      </c>
      <c r="G2" s="2">
        <f ca="1">SUMIF(计算!$1:$1,"h",计算!4:4)</f>
        <v>86.5</v>
      </c>
      <c r="H2" s="2" t="str">
        <f>云配队!F4</f>
        <v>娜娜莉</v>
      </c>
      <c r="I2" s="2" t="s">
        <v>234</v>
      </c>
      <c r="K2" s="2" t="s">
        <v>136</v>
      </c>
      <c r="L2" s="25">
        <v>0.3</v>
      </c>
      <c r="M2" s="26">
        <v>0.375</v>
      </c>
      <c r="N2" s="2" t="b">
        <f>云配队!G13="BOSS"</f>
        <v>1</v>
      </c>
      <c r="U2" s="2" t="s">
        <v>235</v>
      </c>
      <c r="V2" s="2" t="s">
        <v>54</v>
      </c>
      <c r="X2" s="2" t="s">
        <v>138</v>
      </c>
      <c r="Y2" s="2" t="s">
        <v>236</v>
      </c>
      <c r="Z2" s="2" t="s">
        <v>237</v>
      </c>
      <c r="AA2" s="2" t="s">
        <v>238</v>
      </c>
      <c r="AB2" s="2" t="s">
        <v>239</v>
      </c>
      <c r="AC2" s="2" t="s">
        <v>240</v>
      </c>
    </row>
    <row r="3" s="2" customFormat="1" spans="1:29">
      <c r="A3" s="2" t="s">
        <v>241</v>
      </c>
      <c r="B3" s="2" t="s">
        <v>242</v>
      </c>
      <c r="C3" s="2" t="str">
        <f>云配队!AF5</f>
        <v>主角</v>
      </c>
      <c r="D3" s="2">
        <f ca="1">SUMIF(计算!$1:$1,"s",计算!5:5)</f>
        <v>49667.022796192</v>
      </c>
      <c r="E3" s="2">
        <f ca="1">SUMIF(计算!$1:$1,"q",计算!5:5)</f>
        <v>5.301167</v>
      </c>
      <c r="F3" s="2">
        <f ca="1">SUMIF(计算!$1:$1,"y",计算!5:5)</f>
        <v>90.672534</v>
      </c>
      <c r="G3" s="2">
        <f ca="1">SUMIF(计算!$1:$1,"h",计算!5:5)</f>
        <v>100</v>
      </c>
      <c r="H3" s="2" t="str" cm="1">
        <f t="array" ref="H3:H16">_xlfn._xlws.FILTER(动作!$B$4:$B$113,动作!$A$4:$A$113=H2)</f>
        <v>援护</v>
      </c>
      <c r="I3" s="2">
        <f ca="1">SUMIF(计算!$2:$2,H3,计算!$4:$4)</f>
        <v>0</v>
      </c>
      <c r="K3" s="2" t="s">
        <v>135</v>
      </c>
      <c r="L3" s="25">
        <v>0.24</v>
      </c>
      <c r="M3" s="3">
        <v>0.3</v>
      </c>
      <c r="O3" s="2" t="s">
        <v>243</v>
      </c>
      <c r="S3" s="2" t="s">
        <v>244</v>
      </c>
      <c r="T3" s="2" t="b">
        <v>1</v>
      </c>
      <c r="U3" s="2" t="s">
        <v>245</v>
      </c>
      <c r="V3" s="2" t="str">
        <f>云配队!F4</f>
        <v>娜娜莉</v>
      </c>
      <c r="W3" s="2" t="s">
        <v>138</v>
      </c>
      <c r="Y3" s="2" t="s">
        <v>36</v>
      </c>
      <c r="AC3" s="2" t="s">
        <v>243</v>
      </c>
    </row>
    <row r="4" spans="1:29">
      <c r="A4" s="2" t="s">
        <v>246</v>
      </c>
      <c r="B4" s="2" t="s">
        <v>247</v>
      </c>
      <c r="C4" s="2" t="str">
        <f>云配队!AF6</f>
        <v>阿德勒</v>
      </c>
      <c r="D4" s="2">
        <f ca="1">SUMIF(计算!$1:$1,"s",计算!6:6)</f>
        <v>35076.1986541328</v>
      </c>
      <c r="E4" s="2">
        <f ca="1">SUMIF(计算!$1:$1,"q",计算!6:6)</f>
        <v>8.65</v>
      </c>
      <c r="F4" s="2">
        <f ca="1">SUMIF(计算!$1:$1,"y",计算!6:6)</f>
        <v>70.3594</v>
      </c>
      <c r="G4" s="2">
        <f ca="1">SUMIF(计算!$1:$1,"h",计算!6:6)</f>
        <v>20.1</v>
      </c>
      <c r="H4" s="2" t="str">
        <v>C觉追击</v>
      </c>
      <c r="I4" s="2">
        <f ca="1">SUMIF(计算!$2:$2,H4,计算!$4:$4)</f>
        <v>36331.3263695291</v>
      </c>
      <c r="K4" s="2" t="s">
        <v>187</v>
      </c>
      <c r="L4" s="25">
        <v>0.48</v>
      </c>
      <c r="M4" s="3">
        <v>0.6</v>
      </c>
      <c r="O4" s="2" t="s">
        <v>36</v>
      </c>
      <c r="S4" s="2" t="s">
        <v>248</v>
      </c>
      <c r="V4" s="2" t="str">
        <f>云配队!F5</f>
        <v>主角</v>
      </c>
      <c r="W4" s="2" t="s">
        <v>236</v>
      </c>
      <c r="X4" s="2" t="s">
        <v>36</v>
      </c>
      <c r="Z4" s="2" t="s">
        <v>249</v>
      </c>
    </row>
    <row r="5" spans="1:29">
      <c r="A5" s="2" t="s">
        <v>250</v>
      </c>
      <c r="B5" s="2" t="s">
        <v>251</v>
      </c>
      <c r="C5" s="2" t="str">
        <f>云配队!AF7</f>
        <v>九原</v>
      </c>
      <c r="D5" s="2">
        <f ca="1">SUMIF(计算!$1:$1,"s",计算!7:7)</f>
        <v>122780.922388374</v>
      </c>
      <c r="E5" s="2">
        <f ca="1">SUMIF(计算!$1:$1,"q",计算!7:7)</f>
        <v>5.4</v>
      </c>
      <c r="F5" s="2">
        <f ca="1">SUMIF(计算!$1:$1,"y",计算!7:7)</f>
        <v>140.3594</v>
      </c>
      <c r="G5" s="2">
        <f ca="1">SUMIF(计算!$1:$1,"h",计算!7:7)</f>
        <v>11.802</v>
      </c>
      <c r="H5" s="2" t="str">
        <v>天赋追击</v>
      </c>
      <c r="I5" s="2">
        <f ca="1">SUMIF(计算!$2:$2,H5,计算!$4:$4)</f>
        <v>0</v>
      </c>
      <c r="K5" s="2" t="s">
        <v>131</v>
      </c>
      <c r="L5" s="27">
        <v>144</v>
      </c>
      <c r="M5" s="2">
        <v>180</v>
      </c>
      <c r="O5" s="2" t="s">
        <v>249</v>
      </c>
      <c r="P5" s="2" t="b">
        <v>1</v>
      </c>
      <c r="Q5" s="3">
        <v>0.2</v>
      </c>
      <c r="S5" s="2" t="s">
        <v>252</v>
      </c>
      <c r="V5" s="2" t="str">
        <f>云配队!F6</f>
        <v>阿德勒</v>
      </c>
      <c r="W5" s="2" t="s">
        <v>237</v>
      </c>
      <c r="Y5" s="2" t="s">
        <v>249</v>
      </c>
      <c r="AA5" s="2" t="s">
        <v>38</v>
      </c>
    </row>
    <row r="6" spans="1:29">
      <c r="A6" s="2" t="s">
        <v>17</v>
      </c>
      <c r="C6" s="2" t="s">
        <v>36</v>
      </c>
      <c r="D6" s="2">
        <f>SUMIF(计算!$1:$1,"s",计算!27:27)</f>
        <v>222831.546083888</v>
      </c>
      <c r="H6" s="2" t="str">
        <v>5a</v>
      </c>
      <c r="I6" s="2">
        <f ca="1">SUMIF(计算!$2:$2,H6,计算!$4:$4)</f>
        <v>61453.6345154497</v>
      </c>
      <c r="K6" s="2" t="s">
        <v>46</v>
      </c>
      <c r="L6" s="27">
        <v>144</v>
      </c>
      <c r="M6" s="2">
        <v>180</v>
      </c>
      <c r="O6" s="2" t="s">
        <v>38</v>
      </c>
      <c r="S6" s="2" t="s">
        <v>253</v>
      </c>
      <c r="V6" s="2" t="str">
        <f>云配队!F7</f>
        <v>九原</v>
      </c>
      <c r="W6" s="2" t="s">
        <v>238</v>
      </c>
      <c r="Z6" s="2" t="s">
        <v>38</v>
      </c>
      <c r="AB6" s="2" t="s">
        <v>44</v>
      </c>
    </row>
    <row r="7" spans="1:29">
      <c r="A7" s="2" t="s">
        <v>254</v>
      </c>
      <c r="C7" s="2" t="s">
        <v>38</v>
      </c>
      <c r="D7" s="2">
        <f>SUMIF(计算!$1:$1,"s",计算!28:28)</f>
        <v>0</v>
      </c>
      <c r="H7" s="2" t="str">
        <v>5a副手</v>
      </c>
      <c r="I7" s="2">
        <f ca="1">SUMIF(计算!$2:$2,H7,计算!$4:$4)</f>
        <v>18156.1340431045</v>
      </c>
      <c r="K7" s="2" t="s">
        <v>132</v>
      </c>
      <c r="L7" s="25">
        <v>0.3</v>
      </c>
      <c r="M7" s="26">
        <v>0.375</v>
      </c>
      <c r="O7" s="2" t="s">
        <v>44</v>
      </c>
      <c r="W7" s="2" t="s">
        <v>239</v>
      </c>
      <c r="AA7" s="2" t="s">
        <v>44</v>
      </c>
      <c r="AC7" s="2" t="s">
        <v>255</v>
      </c>
    </row>
    <row r="8" spans="1:29">
      <c r="A8" s="2" t="s">
        <v>256</v>
      </c>
      <c r="C8" s="2" t="s">
        <v>44</v>
      </c>
      <c r="D8" s="2">
        <f>SUMIF(计算!$1:$1,"s",计算!29:29)</f>
        <v>0</v>
      </c>
      <c r="H8" s="2" t="str">
        <v>3z</v>
      </c>
      <c r="I8" s="2">
        <f ca="1">SUMIF(计算!$2:$2,H8,计算!$4:$4)</f>
        <v>0</v>
      </c>
      <c r="K8" s="2" t="s">
        <v>146</v>
      </c>
      <c r="L8" s="25">
        <v>0.3</v>
      </c>
      <c r="M8" s="26">
        <v>0.375</v>
      </c>
      <c r="O8" s="2" t="s">
        <v>255</v>
      </c>
      <c r="P8" s="2" t="b">
        <v>1</v>
      </c>
      <c r="Q8" s="3">
        <f>Q5</f>
        <v>0.2</v>
      </c>
      <c r="W8" s="2" t="s">
        <v>240</v>
      </c>
      <c r="X8" s="2" t="s">
        <v>243</v>
      </c>
      <c r="AB8" s="2" t="s">
        <v>255</v>
      </c>
    </row>
    <row r="9" spans="1:29">
      <c r="C9" s="2" t="s">
        <v>257</v>
      </c>
      <c r="E9" s="2">
        <f>COUNTIF(云配队!J11:AC11,"失谐")*云配队!H9*20%</f>
        <v>0</v>
      </c>
      <c r="H9" s="2" t="str">
        <v>3z副手</v>
      </c>
      <c r="I9" s="2">
        <f ca="1">SUMIF(计算!$2:$2,H9,计算!$4:$4)</f>
        <v>0</v>
      </c>
      <c r="K9" s="2" t="s">
        <v>161</v>
      </c>
      <c r="L9" s="25">
        <v>0.42</v>
      </c>
      <c r="M9" s="26">
        <v>0.525</v>
      </c>
      <c r="O9" s="2" t="s">
        <v>258</v>
      </c>
    </row>
    <row r="10" spans="1:29">
      <c r="D10" s="2">
        <f ca="1">SUM(D2:D9)</f>
        <v>665414.563727193</v>
      </c>
      <c r="E10" s="2">
        <f ca="1">SUM(E2:E9)</f>
        <v>35.874167</v>
      </c>
      <c r="H10" s="2" t="str">
        <v>闪反</v>
      </c>
      <c r="I10" s="2">
        <f ca="1">SUMIF(计算!$2:$2,H10,计算!$4:$4)</f>
        <v>30669.1269851948</v>
      </c>
      <c r="K10" s="2" t="s">
        <v>145</v>
      </c>
      <c r="L10" s="28">
        <v>0.276</v>
      </c>
      <c r="M10" s="26">
        <v>0.345</v>
      </c>
      <c r="O10" s="2" t="s">
        <v>257</v>
      </c>
    </row>
    <row r="11" spans="1:29">
      <c r="C11" s="2" t="s">
        <v>259</v>
      </c>
      <c r="D11" s="2">
        <f ca="1">SUMIF(计算!$1:$1,"t",计算!8:8)</f>
        <v>15.8</v>
      </c>
      <c r="H11" s="2" t="str">
        <v>闪反副手</v>
      </c>
      <c r="I11" s="2">
        <f ca="1">SUMIF(计算!$2:$2,H11,计算!$4:$4)</f>
        <v>9430.18598481249</v>
      </c>
    </row>
    <row r="12" spans="1:29">
      <c r="H12" s="2" t="str">
        <v>下落</v>
      </c>
      <c r="I12" s="2">
        <f ca="1">SUMIF(计算!$2:$2,H12,计算!$4:$4)</f>
        <v>0</v>
      </c>
      <c r="S12" s="2" t="s">
        <v>260</v>
      </c>
      <c r="U12" s="2" t="s">
        <v>36</v>
      </c>
      <c r="V12" s="2" t="s">
        <v>38</v>
      </c>
      <c r="W12" s="2" t="s">
        <v>44</v>
      </c>
      <c r="X12" s="2" t="s">
        <v>46</v>
      </c>
    </row>
    <row r="13" spans="1:29">
      <c r="H13" s="2" t="str">
        <v>下落副手</v>
      </c>
      <c r="I13" s="2">
        <f ca="1">SUMIF(计算!$2:$2,H13,计算!$4:$4)</f>
        <v>0</v>
      </c>
      <c r="S13" s="2">
        <v>5</v>
      </c>
      <c r="T13" s="2">
        <f>S13/5</f>
        <v>1</v>
      </c>
      <c r="U13" s="2">
        <v>80</v>
      </c>
      <c r="V13" s="2">
        <v>20</v>
      </c>
      <c r="W13" s="2">
        <v>400</v>
      </c>
      <c r="X13" s="2">
        <v>78</v>
      </c>
    </row>
    <row r="14" spans="1:29">
      <c r="H14" s="2" t="str">
        <v>e</v>
      </c>
      <c r="I14" s="2">
        <f ca="1">SUMIF(计算!$2:$2,H14,计算!$4:$4)</f>
        <v>29433.812515321</v>
      </c>
      <c r="S14" s="2">
        <v>10</v>
      </c>
      <c r="T14" s="2">
        <f t="shared" ref="T14:T28" si="0">S14/5</f>
        <v>2</v>
      </c>
      <c r="U14" s="2">
        <v>120</v>
      </c>
      <c r="V14" s="2">
        <v>35</v>
      </c>
      <c r="W14" s="2">
        <v>600</v>
      </c>
      <c r="X14" s="2">
        <v>88</v>
      </c>
    </row>
    <row r="15" spans="1:29">
      <c r="H15" s="2" t="str">
        <v>e副手</v>
      </c>
      <c r="I15" s="2">
        <f ca="1">SUMIF(计算!$2:$2,H15,计算!$4:$4)</f>
        <v>0</v>
      </c>
      <c r="S15" s="2">
        <v>15</v>
      </c>
      <c r="T15" s="2">
        <f t="shared" si="0"/>
        <v>3</v>
      </c>
      <c r="U15" s="2">
        <v>200</v>
      </c>
      <c r="V15" s="2">
        <v>60</v>
      </c>
      <c r="W15" s="2">
        <v>1000</v>
      </c>
      <c r="X15" s="2">
        <v>98</v>
      </c>
    </row>
    <row r="16" spans="1:29">
      <c r="H16" s="2" t="str">
        <v>q</v>
      </c>
      <c r="I16" s="2">
        <f ca="1">SUMIF(计算!$2:$2,H16,计算!$4:$4)</f>
        <v>49584.6533911947</v>
      </c>
      <c r="S16" s="2">
        <v>20</v>
      </c>
      <c r="T16" s="2">
        <f t="shared" si="0"/>
        <v>4</v>
      </c>
      <c r="U16" s="2">
        <v>300</v>
      </c>
      <c r="V16" s="2">
        <v>90</v>
      </c>
      <c r="W16" s="2">
        <v>1500</v>
      </c>
      <c r="X16" s="2">
        <v>108</v>
      </c>
    </row>
    <row r="17" spans="1:24">
      <c r="I17" s="2">
        <f ca="1">SUMIF(计算!$2:$2,H17,计算!$4:$4)</f>
        <v>0</v>
      </c>
      <c r="S17" s="2">
        <v>25</v>
      </c>
      <c r="T17" s="2">
        <f t="shared" si="0"/>
        <v>5</v>
      </c>
      <c r="U17" s="2">
        <v>400</v>
      </c>
      <c r="V17" s="2">
        <v>120</v>
      </c>
      <c r="W17" s="2">
        <v>2000</v>
      </c>
      <c r="X17" s="2">
        <v>149</v>
      </c>
    </row>
    <row r="18" spans="1:24">
      <c r="B18" s="15"/>
      <c r="C18" s="15"/>
      <c r="D18" s="15"/>
      <c r="H18" s="2" t="s">
        <v>261</v>
      </c>
      <c r="S18" s="2">
        <v>30</v>
      </c>
      <c r="T18" s="2">
        <f t="shared" si="0"/>
        <v>6</v>
      </c>
      <c r="U18" s="2">
        <v>600</v>
      </c>
      <c r="V18" s="2">
        <v>180</v>
      </c>
      <c r="W18" s="2">
        <v>3000</v>
      </c>
      <c r="X18" s="2">
        <v>198</v>
      </c>
    </row>
    <row r="19" spans="1:24">
      <c r="K19" s="2" t="s">
        <v>262</v>
      </c>
      <c r="S19" s="2">
        <v>35</v>
      </c>
      <c r="T19" s="2">
        <f t="shared" si="0"/>
        <v>7</v>
      </c>
      <c r="U19" s="2">
        <v>800</v>
      </c>
      <c r="V19" s="2">
        <v>240</v>
      </c>
      <c r="W19" s="2">
        <v>4000</v>
      </c>
      <c r="X19" s="2">
        <v>266</v>
      </c>
    </row>
    <row r="20" spans="1:24">
      <c r="K20" s="2" t="s">
        <v>263</v>
      </c>
      <c r="L20" s="29">
        <f>21*20</f>
        <v>420</v>
      </c>
      <c r="S20" s="2">
        <v>40</v>
      </c>
      <c r="T20" s="2">
        <f t="shared" si="0"/>
        <v>8</v>
      </c>
      <c r="U20" s="2">
        <v>1000</v>
      </c>
      <c r="V20" s="2">
        <v>300</v>
      </c>
      <c r="W20" s="2">
        <v>5000</v>
      </c>
      <c r="X20" s="2">
        <v>356</v>
      </c>
    </row>
    <row r="21" spans="1:24">
      <c r="A21" s="2" t="s">
        <v>264</v>
      </c>
      <c r="B21" s="2" t="str">
        <f>云配队!F4</f>
        <v>娜娜莉</v>
      </c>
      <c r="C21" s="2" t="str">
        <f>云配队!F5</f>
        <v>主角</v>
      </c>
      <c r="D21" s="2" t="str">
        <f>云配队!F6</f>
        <v>阿德勒</v>
      </c>
      <c r="E21" s="2" t="str">
        <f>云配队!F7</f>
        <v>九原</v>
      </c>
      <c r="K21" s="2" t="s">
        <v>265</v>
      </c>
      <c r="L21" s="2">
        <f>260*20</f>
        <v>5200</v>
      </c>
      <c r="S21" s="2">
        <v>45</v>
      </c>
      <c r="T21" s="2">
        <f t="shared" si="0"/>
        <v>9</v>
      </c>
      <c r="U21" s="2">
        <v>1700</v>
      </c>
      <c r="V21" s="2">
        <v>510</v>
      </c>
      <c r="W21" s="2">
        <v>8500</v>
      </c>
      <c r="X21" s="2">
        <v>478</v>
      </c>
    </row>
    <row r="22" spans="1:24">
      <c r="S22" s="2">
        <v>50</v>
      </c>
      <c r="T22" s="2">
        <f t="shared" si="0"/>
        <v>10</v>
      </c>
      <c r="U22" s="2">
        <v>2200</v>
      </c>
      <c r="V22" s="2">
        <v>660</v>
      </c>
      <c r="W22" s="2">
        <v>11000</v>
      </c>
      <c r="X22" s="2">
        <v>657</v>
      </c>
    </row>
    <row r="23" spans="1:24">
      <c r="B23" s="2" t="str" cm="1">
        <f t="array" ref="B23:B36">IFERROR(_xlfn._xlws.FILTER(动作!$B$4:$B$113,动作!$A$4:$A$113=B21),"")</f>
        <v>援护</v>
      </c>
      <c r="C23" s="2" t="str" cm="1">
        <f t="array" ref="C23:C26">IFERROR(_xlfn._xlws.FILTER(动作!$B$4:$B$113,动作!$A$4:$A$113=C21),"")</f>
        <v>援护</v>
      </c>
      <c r="D23" s="2" t="str" cm="1">
        <f t="array" ref="D23:D26">IFERROR(_xlfn._xlws.FILTER(动作!$B$4:$B$113,动作!$A$4:$A$113=D21),"")</f>
        <v>援护</v>
      </c>
      <c r="E23" s="2" t="str" cm="1">
        <f t="array" ref="E23:E29">IFERROR(_xlfn._xlws.FILTER(动作!$B$4:$B$113,动作!$A$4:$A$113=E21),"")</f>
        <v>援护</v>
      </c>
      <c r="F23" s="2" t="str" cm="1">
        <f t="array" ref="F23">IFERROR(_xlfn._xlws.FILTER(动作!$B$4:$B$113,动作!$A$4:$A$113=F21),"")</f>
        <v/>
      </c>
      <c r="G23" s="2" t="str" cm="1">
        <f t="array" ref="G23">IFERROR(_xlfn._xlws.FILTER(动作!$B$4:$B$113,动作!$A$4:$A$113=G21),"")</f>
        <v/>
      </c>
      <c r="S23" s="2">
        <v>55</v>
      </c>
      <c r="T23" s="2">
        <f t="shared" si="0"/>
        <v>11</v>
      </c>
      <c r="U23" s="2">
        <v>3600</v>
      </c>
      <c r="V23" s="2">
        <v>1080</v>
      </c>
      <c r="W23" s="2">
        <v>18000</v>
      </c>
      <c r="X23" s="2">
        <v>851</v>
      </c>
    </row>
    <row r="24" spans="1:24">
      <c r="B24" s="2" t="str">
        <v>C觉追击</v>
      </c>
      <c r="C24" s="2" t="str">
        <v>e</v>
      </c>
      <c r="D24" s="2" t="str">
        <v>e</v>
      </c>
      <c r="E24" s="2" t="str">
        <v>6枪</v>
      </c>
      <c r="S24" s="2">
        <v>60</v>
      </c>
      <c r="T24" s="2">
        <f t="shared" si="0"/>
        <v>12</v>
      </c>
      <c r="U24" s="2">
        <v>5000</v>
      </c>
      <c r="V24" s="2">
        <v>1500</v>
      </c>
      <c r="W24" s="2">
        <v>25000</v>
      </c>
      <c r="X24" s="2">
        <v>1108</v>
      </c>
    </row>
    <row r="25" spans="1:24">
      <c r="B25" s="2" t="str">
        <v>天赋追击</v>
      </c>
      <c r="C25" s="2" t="str">
        <v>e额外</v>
      </c>
      <c r="D25" s="2" t="str">
        <v>dot10跳</v>
      </c>
      <c r="E25" s="2" t="str">
        <v>dot</v>
      </c>
      <c r="K25" s="15" t="s">
        <v>266</v>
      </c>
      <c r="S25" s="2">
        <v>65</v>
      </c>
      <c r="T25" s="2">
        <f t="shared" si="0"/>
        <v>13</v>
      </c>
      <c r="U25" s="2">
        <v>6000</v>
      </c>
      <c r="V25" s="2">
        <v>1800</v>
      </c>
      <c r="W25" s="2">
        <v>30000</v>
      </c>
      <c r="X25" s="2">
        <v>1459</v>
      </c>
    </row>
    <row r="26" spans="1:24">
      <c r="B26" s="2" t="str">
        <v>5a</v>
      </c>
      <c r="C26" s="2" t="str">
        <v>q</v>
      </c>
      <c r="D26" s="2" t="str">
        <v>q</v>
      </c>
      <c r="E26" s="2" t="str">
        <v>清算</v>
      </c>
      <c r="K26" s="15" t="s">
        <v>267</v>
      </c>
      <c r="L26" s="15"/>
      <c r="M26" s="15"/>
      <c r="N26" s="15"/>
      <c r="O26" s="15"/>
      <c r="P26" s="15"/>
      <c r="Q26" s="15"/>
      <c r="S26" s="2">
        <v>70</v>
      </c>
      <c r="T26" s="2">
        <f t="shared" si="0"/>
        <v>14</v>
      </c>
      <c r="U26" s="2">
        <v>7000</v>
      </c>
      <c r="V26" s="2">
        <v>2100</v>
      </c>
      <c r="W26" s="2">
        <v>35000</v>
      </c>
      <c r="X26" s="2">
        <v>1834</v>
      </c>
    </row>
    <row r="27" spans="1:24">
      <c r="B27" s="2" t="str">
        <v>5a副手</v>
      </c>
      <c r="E27" s="2" t="str">
        <v>q清算</v>
      </c>
      <c r="K27" s="15" t="s">
        <v>268</v>
      </c>
      <c r="L27" s="15"/>
      <c r="M27" s="15"/>
      <c r="N27" s="15"/>
      <c r="O27" s="15" t="s">
        <v>269</v>
      </c>
      <c r="Q27" s="15"/>
      <c r="S27" s="2">
        <v>75</v>
      </c>
      <c r="T27" s="2">
        <f t="shared" si="0"/>
        <v>15</v>
      </c>
      <c r="U27" s="2">
        <v>8000</v>
      </c>
      <c r="V27" s="2">
        <v>2400</v>
      </c>
      <c r="W27" s="2">
        <v>40000</v>
      </c>
      <c r="X27" s="2">
        <v>2296</v>
      </c>
    </row>
    <row r="28" spans="1:24">
      <c r="B28" s="2" t="str">
        <v>3z</v>
      </c>
      <c r="E28" s="2" t="str">
        <v>e</v>
      </c>
      <c r="K28" s="15" t="s">
        <v>270</v>
      </c>
      <c r="L28" s="15"/>
      <c r="M28" s="15"/>
      <c r="N28" s="15">
        <v>16.75</v>
      </c>
      <c r="O28" s="29">
        <f>21*20</f>
        <v>420</v>
      </c>
      <c r="Q28" s="15"/>
      <c r="R28" s="15"/>
      <c r="S28" s="2">
        <v>80</v>
      </c>
      <c r="T28" s="2">
        <f t="shared" si="0"/>
        <v>16</v>
      </c>
      <c r="U28" s="2">
        <v>9000</v>
      </c>
      <c r="V28" s="2">
        <v>2700</v>
      </c>
      <c r="W28" s="2">
        <v>45000</v>
      </c>
      <c r="X28" s="2">
        <v>2772</v>
      </c>
    </row>
    <row r="29" spans="1:24">
      <c r="B29" s="2" t="str">
        <v>3z副手</v>
      </c>
      <c r="E29" s="2" t="str">
        <v>q</v>
      </c>
      <c r="K29" s="15" t="s">
        <v>271</v>
      </c>
      <c r="L29" s="15"/>
      <c r="M29" s="15"/>
      <c r="N29" s="15">
        <v>224</v>
      </c>
      <c r="O29" s="2">
        <f>260*20</f>
        <v>5200</v>
      </c>
      <c r="Q29" s="15"/>
      <c r="R29" s="15"/>
      <c r="S29" s="15"/>
      <c r="T29" s="15"/>
      <c r="U29" s="15"/>
      <c r="V29" s="15"/>
      <c r="W29" s="15"/>
      <c r="X29" s="15"/>
    </row>
    <row r="30" spans="1:24">
      <c r="B30" s="2" t="str">
        <v>闪反</v>
      </c>
      <c r="K30" s="15"/>
      <c r="L30" s="15"/>
      <c r="M30" s="15"/>
      <c r="N30" s="15"/>
      <c r="Q30" s="15"/>
      <c r="R30" s="15"/>
      <c r="S30" s="15"/>
      <c r="T30" s="15"/>
      <c r="U30" s="15"/>
      <c r="V30" s="15"/>
      <c r="W30" s="15"/>
      <c r="X30" s="15"/>
    </row>
    <row r="31" spans="1:24">
      <c r="B31" s="2" t="str">
        <v>闪反副手</v>
      </c>
      <c r="K31" s="15" t="s">
        <v>272</v>
      </c>
      <c r="L31" s="15"/>
      <c r="M31" s="15"/>
      <c r="N31" s="15"/>
      <c r="O31" s="15">
        <v>8</v>
      </c>
      <c r="Q31" s="15"/>
      <c r="R31" s="15"/>
      <c r="S31" s="15"/>
      <c r="T31" s="15"/>
      <c r="U31" s="15"/>
      <c r="V31" s="15"/>
      <c r="W31" s="15"/>
      <c r="X31" s="15"/>
    </row>
    <row r="32" spans="1:24">
      <c r="B32" s="2" t="str">
        <v>下落</v>
      </c>
      <c r="K32" s="15" t="s">
        <v>273</v>
      </c>
      <c r="L32" s="15"/>
      <c r="M32" s="15"/>
      <c r="N32" s="15"/>
      <c r="O32" s="15">
        <v>100</v>
      </c>
      <c r="Q32" s="15"/>
      <c r="R32" s="15"/>
      <c r="S32" s="15"/>
      <c r="T32" s="15"/>
      <c r="U32" s="15"/>
      <c r="V32" s="15"/>
      <c r="W32" s="15"/>
      <c r="X32" s="15"/>
    </row>
    <row r="33" spans="2:24">
      <c r="B33" s="2" t="str">
        <v>下落副手</v>
      </c>
      <c r="K33" s="15" t="s">
        <v>274</v>
      </c>
      <c r="L33" s="15"/>
      <c r="M33" s="15"/>
      <c r="N33" s="15"/>
      <c r="O33" s="30">
        <v>0.0175</v>
      </c>
      <c r="Q33" s="15"/>
      <c r="R33" s="15"/>
      <c r="S33" s="15"/>
      <c r="T33" s="15"/>
      <c r="U33" s="15"/>
      <c r="V33" s="15"/>
      <c r="W33" s="15"/>
      <c r="X33" s="15"/>
    </row>
    <row r="34" spans="2:24">
      <c r="B34" s="2" t="str">
        <v>e</v>
      </c>
      <c r="K34" s="15" t="s">
        <v>275</v>
      </c>
      <c r="L34" s="15"/>
      <c r="M34" s="15"/>
      <c r="N34" s="15"/>
      <c r="O34" s="30">
        <v>0.0125</v>
      </c>
      <c r="Q34" s="15"/>
      <c r="R34" s="15"/>
      <c r="S34" s="15"/>
      <c r="T34" s="15"/>
      <c r="U34" s="15"/>
      <c r="V34" s="15"/>
      <c r="W34" s="15"/>
      <c r="X34" s="15"/>
    </row>
    <row r="35" spans="2:24">
      <c r="B35" s="2" t="str">
        <v>e副手</v>
      </c>
      <c r="K35" s="15" t="s">
        <v>276</v>
      </c>
      <c r="L35" s="15"/>
      <c r="M35" s="15"/>
      <c r="N35" s="15"/>
      <c r="O35" s="31">
        <v>0.01</v>
      </c>
      <c r="Q35" s="15"/>
      <c r="R35" s="15"/>
      <c r="S35" s="15"/>
      <c r="T35" s="15"/>
      <c r="U35" s="15"/>
      <c r="W35" s="15"/>
      <c r="X35" s="15"/>
    </row>
    <row r="36" spans="2:24">
      <c r="B36" s="2" t="str">
        <v>q</v>
      </c>
      <c r="K36" s="15" t="s">
        <v>277</v>
      </c>
      <c r="L36" s="15"/>
      <c r="M36" s="15"/>
      <c r="N36" s="15"/>
      <c r="O36" s="31">
        <v>0.02</v>
      </c>
      <c r="Q36" s="15"/>
      <c r="R36" s="15"/>
      <c r="S36" s="15"/>
      <c r="T36" s="15"/>
      <c r="U36" s="15"/>
      <c r="W36" s="15"/>
      <c r="X36" s="15"/>
    </row>
    <row r="37" spans="2:24">
      <c r="K37" s="15" t="s">
        <v>278</v>
      </c>
      <c r="L37" s="15"/>
      <c r="M37" s="15"/>
      <c r="N37" s="15"/>
      <c r="O37" s="15">
        <v>6</v>
      </c>
      <c r="Q37" s="15"/>
      <c r="R37" s="15"/>
      <c r="S37" s="15"/>
      <c r="T37" s="15"/>
      <c r="U37" s="31"/>
      <c r="W37" s="15"/>
      <c r="X37" s="15"/>
    </row>
    <row r="38" spans="2:24">
      <c r="B38" s="2" t="s">
        <v>261</v>
      </c>
      <c r="Q38" s="15"/>
      <c r="R38" s="15"/>
      <c r="S38" s="15"/>
      <c r="T38" s="15"/>
      <c r="U38" s="31"/>
      <c r="W38" s="15"/>
      <c r="X38" s="15"/>
    </row>
    <row r="39" spans="2:24">
      <c r="Q39" s="15"/>
      <c r="R39" s="15"/>
      <c r="S39" s="15"/>
      <c r="T39" s="15"/>
      <c r="U39" s="31"/>
      <c r="W39" s="15"/>
      <c r="X39" s="15"/>
    </row>
    <row r="40" spans="2:24">
      <c r="Q40" s="15"/>
      <c r="R40" s="15"/>
      <c r="S40" s="15"/>
      <c r="T40" s="15"/>
      <c r="U40" s="31"/>
      <c r="W40" s="15"/>
      <c r="X40" s="15"/>
    </row>
    <row r="41" spans="2:24">
      <c r="Q41" s="15"/>
      <c r="R41" s="15"/>
      <c r="S41" s="15"/>
      <c r="T41" s="15"/>
      <c r="U41" s="15"/>
      <c r="W41" s="15"/>
      <c r="X41" s="15"/>
    </row>
  </sheetData>
  <mergeCells count="2">
    <mergeCell ref="H18:I18"/>
    <mergeCell ref="B38:G3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"/>
  <sheetViews>
    <sheetView zoomScale="110" zoomScaleNormal="110" topLeftCell="A2" workbookViewId="0">
      <pane xSplit="1" ySplit="1" topLeftCell="B19" activePane="bottomRight" state="frozen"/>
      <selection/>
      <selection pane="topRight"/>
      <selection pane="bottomLeft"/>
      <selection pane="bottomRight" activeCell="I37" sqref="I37"/>
    </sheetView>
  </sheetViews>
  <sheetFormatPr defaultColWidth="9.23076923076923" defaultRowHeight="16.8"/>
  <cols>
    <col min="1" max="7" width="9.23076923076923" style="2"/>
    <col min="8" max="8" width="10.3846153846154" style="2"/>
    <col min="9" max="9" width="9.23076923076923" style="2"/>
    <col min="10" max="11" width="9.69230769230769" style="2"/>
    <col min="12" max="12" width="9.23076923076923" style="2"/>
    <col min="13" max="13" width="40.4903846153846" style="2" customWidth="1"/>
    <col min="14" max="15" width="10.6346153846154" style="2" customWidth="1"/>
    <col min="16" max="16" width="11" style="2"/>
    <col min="17" max="17" width="9.61538461538461" style="2"/>
    <col min="18" max="16384" width="9.23076923076923" style="2"/>
  </cols>
  <sheetData>
    <row r="1" spans="1:19">
      <c r="A1" s="2">
        <f t="shared" ref="A1:S1" si="0">COLUMN()</f>
        <v>1</v>
      </c>
      <c r="B1" s="2">
        <f t="shared" si="0"/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</row>
    <row r="2" spans="1:19">
      <c r="A2" s="2" t="s">
        <v>2</v>
      </c>
      <c r="B2" s="2" t="s">
        <v>279</v>
      </c>
      <c r="C2" s="2" t="s">
        <v>216</v>
      </c>
      <c r="D2" s="2" t="s">
        <v>228</v>
      </c>
      <c r="E2" s="2" t="s">
        <v>280</v>
      </c>
      <c r="F2" s="2" t="s">
        <v>281</v>
      </c>
      <c r="G2" s="2" t="s">
        <v>282</v>
      </c>
      <c r="H2" s="2" t="s">
        <v>283</v>
      </c>
      <c r="I2" s="2" t="s">
        <v>284</v>
      </c>
      <c r="J2" s="2" t="s">
        <v>285</v>
      </c>
      <c r="K2" s="2" t="s">
        <v>286</v>
      </c>
      <c r="L2" s="2" t="s">
        <v>46</v>
      </c>
      <c r="M2" s="2" t="s">
        <v>287</v>
      </c>
      <c r="N2" s="2" t="s">
        <v>288</v>
      </c>
      <c r="O2" s="2" t="s">
        <v>135</v>
      </c>
      <c r="P2" s="2" t="s">
        <v>187</v>
      </c>
      <c r="Q2" s="2" t="s">
        <v>186</v>
      </c>
      <c r="R2" s="2" t="s">
        <v>178</v>
      </c>
      <c r="S2" s="2" t="s">
        <v>179</v>
      </c>
    </row>
    <row r="3" spans="1:19">
      <c r="A3" s="2" t="s">
        <v>256</v>
      </c>
      <c r="B3" s="2" t="s">
        <v>256</v>
      </c>
      <c r="C3" s="2" t="s">
        <v>256</v>
      </c>
      <c r="D3" s="4"/>
      <c r="E3" s="6"/>
      <c r="F3" s="6"/>
      <c r="G3" s="6"/>
      <c r="H3" s="6"/>
      <c r="I3" s="17"/>
      <c r="O3" s="4"/>
      <c r="P3" s="4"/>
      <c r="Q3" s="4"/>
      <c r="R3" s="4"/>
    </row>
    <row r="4" spans="1:19">
      <c r="A4" s="2" t="s">
        <v>21</v>
      </c>
      <c r="B4" s="2" t="s">
        <v>22</v>
      </c>
      <c r="C4" s="2" t="s">
        <v>22</v>
      </c>
      <c r="D4" s="4"/>
      <c r="E4" s="6">
        <v>200</v>
      </c>
      <c r="F4" s="6"/>
      <c r="G4" s="6"/>
      <c r="H4" s="6"/>
      <c r="I4" s="17">
        <v>1.3</v>
      </c>
      <c r="J4" s="2">
        <v>7.7</v>
      </c>
      <c r="L4" s="2">
        <v>2.5</v>
      </c>
      <c r="O4" s="18"/>
      <c r="P4" s="18"/>
      <c r="Q4" s="18"/>
      <c r="R4" s="4"/>
    </row>
    <row r="5" spans="1:19">
      <c r="A5" s="2" t="s">
        <v>21</v>
      </c>
      <c r="B5" s="2" t="s">
        <v>13</v>
      </c>
      <c r="C5" s="2" t="s">
        <v>241</v>
      </c>
      <c r="D5" s="4"/>
      <c r="E5" s="6">
        <v>300</v>
      </c>
      <c r="F5" s="6"/>
      <c r="G5" s="6"/>
      <c r="H5" s="6"/>
      <c r="I5" s="17">
        <v>0.2</v>
      </c>
      <c r="J5" s="2">
        <v>8.801</v>
      </c>
      <c r="K5" s="2">
        <v>100</v>
      </c>
      <c r="L5" s="2">
        <v>1.8</v>
      </c>
      <c r="N5" s="2">
        <f>IF(配装!AS3,8,0)</f>
        <v>8</v>
      </c>
      <c r="O5" s="18"/>
      <c r="P5" s="18"/>
      <c r="Q5" s="18"/>
      <c r="R5" s="4"/>
    </row>
    <row r="6" spans="1:19">
      <c r="A6" s="2" t="s">
        <v>21</v>
      </c>
      <c r="B6" s="2" t="s">
        <v>289</v>
      </c>
      <c r="C6" s="2" t="s">
        <v>241</v>
      </c>
      <c r="D6" s="4"/>
      <c r="E6" s="6">
        <f>IF(配装!AW3,300,200)/配装!AA3</f>
        <v>92.6386976169368</v>
      </c>
      <c r="F6" s="6"/>
      <c r="G6" s="6"/>
      <c r="H6" s="6"/>
      <c r="I6" s="17"/>
      <c r="O6" s="18"/>
      <c r="P6" s="18"/>
      <c r="Q6" s="18"/>
      <c r="R6" s="4">
        <f>IF(配装!AR3,75%,0)</f>
        <v>0</v>
      </c>
    </row>
    <row r="7" spans="1:19">
      <c r="A7" s="2" t="s">
        <v>21</v>
      </c>
      <c r="B7" s="2" t="s">
        <v>14</v>
      </c>
      <c r="C7" s="2" t="s">
        <v>246</v>
      </c>
      <c r="D7" s="4"/>
      <c r="E7" s="6">
        <v>500</v>
      </c>
      <c r="F7" s="6"/>
      <c r="G7" s="6"/>
      <c r="H7" s="6"/>
      <c r="I7" s="17"/>
      <c r="L7" s="2">
        <v>1.501</v>
      </c>
      <c r="O7" s="18">
        <f>IF(配装!AT3,50%,0)</f>
        <v>0.5</v>
      </c>
      <c r="P7" s="18"/>
      <c r="Q7" s="18"/>
      <c r="R7" s="4"/>
    </row>
    <row r="8" spans="1:19">
      <c r="A8" s="2" t="s">
        <v>133</v>
      </c>
      <c r="B8" s="2" t="s">
        <v>22</v>
      </c>
      <c r="C8" s="2" t="s">
        <v>22</v>
      </c>
      <c r="D8" s="4"/>
      <c r="E8" s="6">
        <v>200</v>
      </c>
      <c r="F8" s="6"/>
      <c r="G8" s="6"/>
      <c r="H8" s="6"/>
      <c r="I8" s="17">
        <v>1.3</v>
      </c>
      <c r="J8" s="2">
        <v>9.5</v>
      </c>
      <c r="L8" s="2">
        <v>2.5</v>
      </c>
      <c r="O8" s="18"/>
      <c r="P8" s="18"/>
      <c r="Q8" s="18"/>
      <c r="R8" s="4"/>
    </row>
    <row r="9" spans="1:19">
      <c r="A9" s="2" t="s">
        <v>133</v>
      </c>
      <c r="B9" s="2" t="s">
        <v>13</v>
      </c>
      <c r="C9" s="2" t="s">
        <v>241</v>
      </c>
      <c r="D9" s="4"/>
      <c r="E9" s="6">
        <v>300</v>
      </c>
      <c r="F9" s="6"/>
      <c r="G9" s="6"/>
      <c r="H9" s="6"/>
      <c r="I9" s="17"/>
      <c r="J9" s="2">
        <v>7.097</v>
      </c>
      <c r="K9" s="19">
        <v>11.794</v>
      </c>
      <c r="L9" s="2">
        <v>1.396</v>
      </c>
      <c r="O9" s="18"/>
      <c r="P9" s="18"/>
      <c r="Q9" s="18"/>
      <c r="R9" s="4"/>
    </row>
    <row r="10" spans="1:19">
      <c r="A10" s="2" t="s">
        <v>133</v>
      </c>
      <c r="B10" s="2" t="s">
        <v>14</v>
      </c>
      <c r="C10" s="2" t="s">
        <v>246</v>
      </c>
      <c r="D10" s="4"/>
      <c r="E10" s="6">
        <f>800+550*2+200*2</f>
        <v>2300</v>
      </c>
      <c r="F10" s="6"/>
      <c r="G10" s="6"/>
      <c r="H10" s="6"/>
      <c r="I10" s="17"/>
      <c r="L10" s="2">
        <v>1.5</v>
      </c>
      <c r="O10" s="18"/>
      <c r="P10" s="18"/>
      <c r="Q10" s="18"/>
      <c r="R10" s="4"/>
    </row>
    <row r="11" spans="1:19">
      <c r="A11" s="2" t="s">
        <v>137</v>
      </c>
      <c r="B11" s="2" t="s">
        <v>22</v>
      </c>
      <c r="C11" s="2" t="s">
        <v>22</v>
      </c>
      <c r="D11" s="4"/>
      <c r="E11" s="6">
        <v>200</v>
      </c>
      <c r="F11" s="6"/>
      <c r="G11" s="6"/>
      <c r="H11" s="6"/>
      <c r="I11" s="17">
        <v>1.3</v>
      </c>
      <c r="J11" s="2">
        <v>8.6</v>
      </c>
      <c r="L11" s="2">
        <v>2.5</v>
      </c>
      <c r="O11" s="18"/>
      <c r="P11" s="18"/>
      <c r="Q11" s="18"/>
      <c r="R11" s="4"/>
    </row>
    <row r="12" spans="1:19">
      <c r="A12" s="2" t="s">
        <v>137</v>
      </c>
      <c r="B12" s="2" t="s">
        <v>15</v>
      </c>
      <c r="C12" s="2" t="s">
        <v>250</v>
      </c>
      <c r="D12" s="4"/>
      <c r="E12" s="6">
        <v>325.7</v>
      </c>
      <c r="F12" s="6"/>
      <c r="G12" s="6"/>
      <c r="H12" s="6"/>
      <c r="I12" s="17">
        <v>3.5</v>
      </c>
      <c r="J12" s="2">
        <v>16.3</v>
      </c>
      <c r="K12" s="2">
        <v>27.098</v>
      </c>
      <c r="L12" s="2">
        <v>3.301</v>
      </c>
      <c r="O12" s="18"/>
      <c r="P12" s="18"/>
      <c r="Q12" s="18"/>
      <c r="R12" s="4"/>
    </row>
    <row r="13" spans="1:19">
      <c r="A13" s="2" t="s">
        <v>137</v>
      </c>
      <c r="B13" s="2" t="s">
        <v>290</v>
      </c>
      <c r="C13" s="2" t="s">
        <v>250</v>
      </c>
      <c r="D13" s="4"/>
      <c r="E13" s="6">
        <f>77.5*2</f>
        <v>155</v>
      </c>
      <c r="F13" s="6"/>
      <c r="G13" s="6"/>
      <c r="H13" s="6"/>
      <c r="I13" s="17"/>
      <c r="J13" s="2">
        <v>7.8</v>
      </c>
      <c r="K13" s="2">
        <v>12.9</v>
      </c>
      <c r="L13" s="2">
        <v>1.6</v>
      </c>
      <c r="O13" s="18"/>
      <c r="P13" s="18"/>
      <c r="Q13" s="18"/>
      <c r="R13" s="4"/>
    </row>
    <row r="14" spans="1:19">
      <c r="A14" s="2" t="s">
        <v>137</v>
      </c>
      <c r="B14" s="2" t="s">
        <v>291</v>
      </c>
      <c r="C14" s="2" t="s">
        <v>250</v>
      </c>
      <c r="D14" s="4"/>
      <c r="E14" s="6">
        <f>96*2</f>
        <v>192</v>
      </c>
      <c r="F14" s="6"/>
      <c r="G14" s="6"/>
      <c r="H14" s="6"/>
      <c r="I14" s="17"/>
      <c r="J14" s="2">
        <v>9.6</v>
      </c>
      <c r="K14" s="2">
        <v>16</v>
      </c>
      <c r="L14" s="2">
        <v>1.9</v>
      </c>
      <c r="O14" s="18"/>
      <c r="P14" s="18"/>
      <c r="Q14" s="18"/>
      <c r="R14" s="4"/>
    </row>
    <row r="15" spans="1:19">
      <c r="A15" s="2" t="s">
        <v>137</v>
      </c>
      <c r="B15" s="2" t="s">
        <v>17</v>
      </c>
      <c r="C15" s="2" t="s">
        <v>17</v>
      </c>
      <c r="D15" s="4"/>
      <c r="E15" s="6">
        <v>90</v>
      </c>
      <c r="F15" s="6"/>
      <c r="G15" s="6"/>
      <c r="H15" s="6"/>
      <c r="I15" s="17">
        <v>1.3</v>
      </c>
      <c r="J15" s="2">
        <v>4.027</v>
      </c>
      <c r="K15" s="2">
        <v>6.672</v>
      </c>
      <c r="L15" s="2">
        <v>2.85</v>
      </c>
      <c r="O15" s="18"/>
      <c r="P15" s="18"/>
      <c r="Q15" s="18"/>
      <c r="R15" s="4"/>
    </row>
    <row r="16" spans="1:19">
      <c r="A16" s="2" t="s">
        <v>137</v>
      </c>
      <c r="B16" s="2" t="s">
        <v>292</v>
      </c>
      <c r="C16" s="2" t="s">
        <v>241</v>
      </c>
      <c r="D16" s="4"/>
      <c r="E16" s="6">
        <v>59</v>
      </c>
      <c r="F16" s="6"/>
      <c r="G16" s="6"/>
      <c r="H16" s="6">
        <f>16000*IF(配装!$AR$5,1.25,1)</f>
        <v>20000</v>
      </c>
      <c r="I16" s="17">
        <v>0.7</v>
      </c>
      <c r="J16" s="2">
        <v>4.727</v>
      </c>
      <c r="K16" s="2">
        <v>7.772</v>
      </c>
      <c r="L16" s="2">
        <v>0.95</v>
      </c>
      <c r="M16" s="2" t="s">
        <v>293</v>
      </c>
      <c r="O16" s="18"/>
      <c r="P16" s="18"/>
      <c r="Q16" s="18"/>
      <c r="R16" s="4"/>
    </row>
    <row r="17" spans="1:18">
      <c r="A17" s="2" t="s">
        <v>137</v>
      </c>
      <c r="B17" s="2" t="s">
        <v>294</v>
      </c>
      <c r="C17" s="2" t="s">
        <v>241</v>
      </c>
      <c r="D17" s="4"/>
      <c r="E17" s="6">
        <v>106.4</v>
      </c>
      <c r="F17" s="6"/>
      <c r="G17" s="6"/>
      <c r="H17" s="6">
        <f>16000*IF(配装!$AR$5,1.25,1)</f>
        <v>20000</v>
      </c>
      <c r="I17" s="17"/>
      <c r="J17" s="2">
        <v>5.3</v>
      </c>
      <c r="K17" s="2">
        <v>8.9</v>
      </c>
      <c r="L17" s="2">
        <v>1.1</v>
      </c>
      <c r="M17" s="2" t="s">
        <v>295</v>
      </c>
      <c r="O17" s="4"/>
      <c r="P17" s="4"/>
      <c r="Q17" s="18"/>
      <c r="R17" s="4"/>
    </row>
    <row r="18" spans="1:18">
      <c r="A18" s="2" t="s">
        <v>137</v>
      </c>
      <c r="B18" s="2" t="s">
        <v>296</v>
      </c>
      <c r="C18" s="2" t="s">
        <v>241</v>
      </c>
      <c r="D18" s="4"/>
      <c r="E18" s="6">
        <v>153.7</v>
      </c>
      <c r="F18" s="6"/>
      <c r="G18" s="6"/>
      <c r="H18" s="6">
        <f>16000*IF(配装!$AR$5,1.25,1)</f>
        <v>20000</v>
      </c>
      <c r="I18" s="17"/>
      <c r="J18" s="2">
        <v>7.701</v>
      </c>
      <c r="K18" s="2">
        <v>12.799</v>
      </c>
      <c r="L18" s="2">
        <v>1.5</v>
      </c>
      <c r="M18" s="2" t="s">
        <v>297</v>
      </c>
      <c r="O18" s="18"/>
      <c r="P18" s="18"/>
      <c r="Q18" s="18"/>
      <c r="R18" s="4"/>
    </row>
    <row r="19" spans="1:18">
      <c r="A19" s="2" t="s">
        <v>137</v>
      </c>
      <c r="B19" s="2" t="s">
        <v>298</v>
      </c>
      <c r="C19" s="2" t="s">
        <v>241</v>
      </c>
      <c r="D19" s="4"/>
      <c r="E19" s="6">
        <f>59+25*16+153.7</f>
        <v>612.7</v>
      </c>
      <c r="F19" s="6"/>
      <c r="G19" s="6"/>
      <c r="H19" s="6">
        <f>(16000+4*16000)*IF(配装!$AR$5,1.25,1)</f>
        <v>100000</v>
      </c>
      <c r="I19" s="17">
        <v>4</v>
      </c>
      <c r="J19" s="2">
        <f>J16+J18</f>
        <v>12.428</v>
      </c>
      <c r="K19" s="2">
        <f>K16+K18</f>
        <v>20.571</v>
      </c>
      <c r="L19" s="2">
        <f>L16+L18</f>
        <v>2.45</v>
      </c>
      <c r="O19" s="18"/>
      <c r="P19" s="18"/>
      <c r="Q19" s="18"/>
      <c r="R19" s="4"/>
    </row>
    <row r="20" spans="1:18">
      <c r="A20" s="2" t="s">
        <v>137</v>
      </c>
      <c r="B20" s="2" t="s">
        <v>299</v>
      </c>
      <c r="C20" s="2" t="s">
        <v>241</v>
      </c>
      <c r="D20" s="4"/>
      <c r="E20" s="6">
        <f>59+25*32+153.7</f>
        <v>1012.7</v>
      </c>
      <c r="F20" s="6"/>
      <c r="G20" s="6"/>
      <c r="H20" s="6">
        <f>(16000+4*32000)*IF(配装!$AR$5,1.25,1)</f>
        <v>180000</v>
      </c>
      <c r="I20" s="17"/>
      <c r="J20" s="2">
        <f>J19</f>
        <v>12.428</v>
      </c>
      <c r="K20" s="2">
        <f>K19</f>
        <v>20.571</v>
      </c>
      <c r="L20" s="2">
        <f>L19</f>
        <v>2.45</v>
      </c>
      <c r="O20" s="4"/>
      <c r="P20" s="4"/>
      <c r="Q20" s="4"/>
      <c r="R20" s="4"/>
    </row>
    <row r="21" spans="1:18">
      <c r="A21" s="2" t="s">
        <v>137</v>
      </c>
      <c r="B21" s="2" t="s">
        <v>300</v>
      </c>
      <c r="C21" s="2" t="s">
        <v>241</v>
      </c>
      <c r="D21" s="4"/>
      <c r="E21" s="6">
        <v>106.4</v>
      </c>
      <c r="F21" s="6"/>
      <c r="G21" s="6"/>
      <c r="H21" s="6">
        <f>24000*IF(配装!$AR$5,1.25,1)</f>
        <v>30000</v>
      </c>
      <c r="I21" s="17"/>
      <c r="J21" s="2">
        <v>5.3</v>
      </c>
      <c r="K21" s="2">
        <v>8.9</v>
      </c>
      <c r="L21" s="2">
        <v>1.1</v>
      </c>
      <c r="O21" s="4"/>
      <c r="P21" s="4"/>
      <c r="Q21" s="4"/>
      <c r="R21" s="4"/>
    </row>
    <row r="22" spans="1:18">
      <c r="A22" s="2" t="s">
        <v>137</v>
      </c>
      <c r="B22" s="2" t="s">
        <v>301</v>
      </c>
      <c r="C22" s="2" t="s">
        <v>241</v>
      </c>
      <c r="D22" s="4"/>
      <c r="E22" s="6">
        <v>59</v>
      </c>
      <c r="F22" s="6"/>
      <c r="G22" s="6"/>
      <c r="H22" s="6">
        <f>32000*IF(配装!$AR$5,1.25,1)</f>
        <v>40000</v>
      </c>
      <c r="I22" s="17">
        <v>0.7</v>
      </c>
      <c r="J22" s="2">
        <v>4.727</v>
      </c>
      <c r="K22" s="2">
        <v>7.772</v>
      </c>
      <c r="L22" s="2">
        <v>0.95</v>
      </c>
      <c r="O22" s="4"/>
      <c r="P22" s="4"/>
      <c r="Q22" s="4"/>
      <c r="R22" s="4"/>
    </row>
    <row r="23" spans="1:18">
      <c r="A23" s="2" t="s">
        <v>137</v>
      </c>
      <c r="B23" s="2" t="s">
        <v>302</v>
      </c>
      <c r="C23" s="2" t="s">
        <v>241</v>
      </c>
      <c r="D23" s="4"/>
      <c r="E23" s="6">
        <v>106.4</v>
      </c>
      <c r="F23" s="6"/>
      <c r="G23" s="6"/>
      <c r="H23" s="6">
        <f>32000*IF(配装!$AR$5,1.25,1)</f>
        <v>40000</v>
      </c>
      <c r="I23" s="17"/>
      <c r="J23" s="2">
        <v>5.3</v>
      </c>
      <c r="K23" s="2">
        <v>8.9</v>
      </c>
      <c r="L23" s="2">
        <v>1.1</v>
      </c>
      <c r="O23" s="4"/>
      <c r="P23" s="4"/>
      <c r="Q23" s="4"/>
      <c r="R23" s="4"/>
    </row>
    <row r="24" spans="1:18">
      <c r="A24" s="2" t="s">
        <v>137</v>
      </c>
      <c r="B24" s="2" t="s">
        <v>303</v>
      </c>
      <c r="C24" s="2" t="s">
        <v>241</v>
      </c>
      <c r="D24" s="4"/>
      <c r="E24" s="6">
        <v>153.7</v>
      </c>
      <c r="F24" s="6"/>
      <c r="G24" s="6"/>
      <c r="H24" s="6">
        <f>32000*IF(配装!$AR$5,1.25,1)</f>
        <v>40000</v>
      </c>
      <c r="I24" s="17"/>
      <c r="J24" s="2">
        <v>7.701</v>
      </c>
      <c r="K24" s="2">
        <v>12.799</v>
      </c>
      <c r="L24" s="2">
        <v>1.5</v>
      </c>
      <c r="O24" s="4"/>
      <c r="P24" s="4"/>
      <c r="Q24" s="4"/>
      <c r="R24" s="4"/>
    </row>
    <row r="25" spans="1:18">
      <c r="A25" s="2" t="s">
        <v>137</v>
      </c>
      <c r="B25" s="2" t="s">
        <v>14</v>
      </c>
      <c r="C25" s="2" t="s">
        <v>246</v>
      </c>
      <c r="D25" s="4"/>
      <c r="E25" s="6">
        <v>500</v>
      </c>
      <c r="F25" s="6"/>
      <c r="G25" s="6"/>
      <c r="H25" s="6"/>
      <c r="I25" s="17"/>
      <c r="L25" s="2">
        <v>1.5</v>
      </c>
      <c r="O25" s="4"/>
      <c r="P25" s="4"/>
      <c r="Q25" s="4"/>
      <c r="R25" s="4"/>
    </row>
    <row r="26" spans="1:18">
      <c r="A26" s="2" t="s">
        <v>141</v>
      </c>
      <c r="B26" s="2" t="s">
        <v>22</v>
      </c>
      <c r="C26" s="2" t="s">
        <v>22</v>
      </c>
      <c r="D26" s="4"/>
      <c r="E26" s="6">
        <v>200</v>
      </c>
      <c r="F26" s="6"/>
      <c r="G26" s="6"/>
      <c r="H26" s="6"/>
      <c r="I26" s="17">
        <v>1.3</v>
      </c>
      <c r="J26" s="2">
        <v>3.6</v>
      </c>
      <c r="L26" s="2">
        <v>2.5</v>
      </c>
      <c r="O26" s="4"/>
      <c r="P26" s="4"/>
      <c r="Q26" s="4"/>
      <c r="R26" s="4"/>
    </row>
    <row r="27" spans="1:18">
      <c r="A27" s="2" t="s">
        <v>141</v>
      </c>
      <c r="B27" s="2" t="s">
        <v>13</v>
      </c>
      <c r="C27" s="2" t="s">
        <v>241</v>
      </c>
      <c r="D27" s="4"/>
      <c r="E27" s="6">
        <f>80*7</f>
        <v>560</v>
      </c>
      <c r="F27" s="6"/>
      <c r="G27" s="6"/>
      <c r="H27" s="6"/>
      <c r="I27" s="17"/>
      <c r="J27" s="2">
        <v>22.4</v>
      </c>
      <c r="K27" s="2">
        <v>37.303</v>
      </c>
      <c r="L27" s="2">
        <v>4.501</v>
      </c>
      <c r="O27" s="4"/>
      <c r="P27" s="4"/>
      <c r="Q27" s="4"/>
      <c r="R27" s="4"/>
    </row>
    <row r="28" spans="1:18">
      <c r="A28" s="2" t="s">
        <v>141</v>
      </c>
      <c r="B28" s="2" t="s">
        <v>14</v>
      </c>
      <c r="C28" s="2" t="s">
        <v>246</v>
      </c>
      <c r="D28" s="4"/>
      <c r="E28" s="6">
        <v>400</v>
      </c>
      <c r="F28" s="6"/>
      <c r="G28" s="6"/>
      <c r="H28" s="6"/>
      <c r="I28" s="17"/>
      <c r="L28" s="2">
        <v>1.5</v>
      </c>
      <c r="O28" s="4"/>
      <c r="P28" s="4"/>
      <c r="Q28" s="4"/>
      <c r="R28" s="4"/>
    </row>
    <row r="29" spans="1:18">
      <c r="A29" s="2" t="s">
        <v>12</v>
      </c>
      <c r="B29" s="2" t="s">
        <v>22</v>
      </c>
      <c r="C29" s="2" t="s">
        <v>22</v>
      </c>
      <c r="D29" s="4"/>
      <c r="E29" s="6">
        <v>200</v>
      </c>
      <c r="F29" s="6"/>
      <c r="G29" s="6"/>
      <c r="H29" s="6"/>
      <c r="I29" s="17">
        <v>1.3</v>
      </c>
      <c r="J29" s="2">
        <v>7</v>
      </c>
      <c r="L29" s="2">
        <v>2.5</v>
      </c>
      <c r="O29" s="4"/>
      <c r="P29" s="4"/>
      <c r="Q29" s="4"/>
      <c r="R29" s="4"/>
    </row>
    <row r="30" spans="1:18">
      <c r="A30" s="2" t="s">
        <v>12</v>
      </c>
      <c r="B30" s="2" t="s">
        <v>19</v>
      </c>
      <c r="C30" s="2" t="s">
        <v>250</v>
      </c>
      <c r="D30" s="4" t="s">
        <v>252</v>
      </c>
      <c r="E30" s="6">
        <v>50</v>
      </c>
      <c r="F30" s="6"/>
      <c r="G30" s="6"/>
      <c r="H30" s="6"/>
      <c r="I30" s="17"/>
      <c r="O30" s="4"/>
      <c r="P30" s="4"/>
      <c r="Q30" s="4"/>
      <c r="R30" s="4"/>
    </row>
    <row r="31" spans="1:18">
      <c r="A31" s="2" t="s">
        <v>12</v>
      </c>
      <c r="B31" s="2" t="s">
        <v>304</v>
      </c>
      <c r="C31" s="2" t="s">
        <v>250</v>
      </c>
      <c r="D31" s="4" t="s">
        <v>252</v>
      </c>
      <c r="E31" s="6">
        <f>60/配装!$AA$7</f>
        <v>30.0149380278875</v>
      </c>
      <c r="F31" s="6"/>
      <c r="G31" s="6"/>
      <c r="H31" s="6"/>
      <c r="I31" s="17"/>
      <c r="O31" s="18"/>
      <c r="P31" s="18"/>
      <c r="Q31" s="18"/>
      <c r="R31" s="4"/>
    </row>
    <row r="32" spans="1:18">
      <c r="A32" s="2" t="s">
        <v>12</v>
      </c>
      <c r="B32" s="2" t="s">
        <v>15</v>
      </c>
      <c r="C32" s="2" t="s">
        <v>250</v>
      </c>
      <c r="D32" s="4"/>
      <c r="E32" s="6">
        <v>432.2</v>
      </c>
      <c r="F32" s="6"/>
      <c r="G32" s="6"/>
      <c r="H32" s="6"/>
      <c r="I32" s="17">
        <v>3.85</v>
      </c>
      <c r="J32" s="2">
        <v>16.599</v>
      </c>
      <c r="K32" s="2">
        <v>27.7</v>
      </c>
      <c r="L32" s="2">
        <v>3.299</v>
      </c>
      <c r="M32" s="2" t="s">
        <v>305</v>
      </c>
      <c r="O32" s="18"/>
      <c r="P32" s="18"/>
      <c r="Q32" s="18"/>
      <c r="R32" s="4"/>
    </row>
    <row r="33" spans="1:18">
      <c r="A33" s="2" t="s">
        <v>12</v>
      </c>
      <c r="B33" s="2" t="s">
        <v>16</v>
      </c>
      <c r="C33" s="2" t="s">
        <v>250</v>
      </c>
      <c r="D33" s="4" t="s">
        <v>252</v>
      </c>
      <c r="E33" s="6">
        <f>330</f>
        <v>330</v>
      </c>
      <c r="F33" s="6"/>
      <c r="G33" s="6"/>
      <c r="H33" s="6"/>
      <c r="I33" s="17"/>
      <c r="O33" s="18"/>
      <c r="P33" s="18"/>
      <c r="Q33" s="18">
        <f>IF(配装!$AU$7,30%,0)</f>
        <v>0</v>
      </c>
      <c r="R33" s="4"/>
    </row>
    <row r="34" spans="1:18">
      <c r="A34" s="2" t="s">
        <v>12</v>
      </c>
      <c r="B34" s="2" t="s">
        <v>306</v>
      </c>
      <c r="C34" s="2" t="s">
        <v>250</v>
      </c>
      <c r="D34" s="4"/>
      <c r="E34" s="6">
        <v>339.7</v>
      </c>
      <c r="F34" s="6"/>
      <c r="G34" s="6"/>
      <c r="H34" s="6"/>
      <c r="I34" s="17">
        <v>3.35</v>
      </c>
      <c r="J34" s="2">
        <v>13.101</v>
      </c>
      <c r="K34" s="2">
        <v>21.801</v>
      </c>
      <c r="L34" s="2">
        <v>2.6</v>
      </c>
      <c r="O34" s="18"/>
      <c r="P34" s="18"/>
      <c r="Q34" s="18"/>
      <c r="R34" s="4"/>
    </row>
    <row r="35" spans="1:18">
      <c r="A35" s="2" t="s">
        <v>12</v>
      </c>
      <c r="B35" s="2" t="s">
        <v>307</v>
      </c>
      <c r="C35" s="2" t="s">
        <v>250</v>
      </c>
      <c r="D35" s="4" t="s">
        <v>252</v>
      </c>
      <c r="E35" s="6">
        <v>284.4</v>
      </c>
      <c r="F35" s="6"/>
      <c r="G35" s="6"/>
      <c r="H35" s="6"/>
      <c r="I35" s="17"/>
      <c r="O35" s="18"/>
      <c r="P35" s="18"/>
      <c r="Q35" s="18">
        <f>IF(配装!$AU$7,30%,0)</f>
        <v>0</v>
      </c>
      <c r="R35" s="4"/>
    </row>
    <row r="36" spans="1:18">
      <c r="A36" s="2" t="s">
        <v>12</v>
      </c>
      <c r="B36" s="2" t="s">
        <v>17</v>
      </c>
      <c r="C36" s="2" t="s">
        <v>17</v>
      </c>
      <c r="D36" s="4"/>
      <c r="E36" s="6">
        <v>166</v>
      </c>
      <c r="F36" s="6"/>
      <c r="G36" s="6"/>
      <c r="H36" s="6"/>
      <c r="I36" s="17">
        <v>2.1</v>
      </c>
      <c r="J36" s="2">
        <v>4.2</v>
      </c>
      <c r="K36" s="2">
        <v>6.9</v>
      </c>
      <c r="L36" s="2">
        <v>2.5</v>
      </c>
      <c r="O36" s="18"/>
      <c r="P36" s="18"/>
      <c r="Q36" s="18"/>
      <c r="R36" s="4"/>
    </row>
    <row r="37" spans="1:18">
      <c r="A37" s="2" t="s">
        <v>12</v>
      </c>
      <c r="B37" s="2" t="s">
        <v>18</v>
      </c>
      <c r="C37" s="2" t="s">
        <v>250</v>
      </c>
      <c r="D37" s="4" t="s">
        <v>252</v>
      </c>
      <c r="E37" s="6">
        <v>85.7</v>
      </c>
      <c r="F37" s="6"/>
      <c r="G37" s="6"/>
      <c r="H37" s="6"/>
      <c r="I37" s="17"/>
      <c r="O37" s="18"/>
      <c r="P37" s="18"/>
      <c r="Q37" s="18">
        <f>IF(配装!$AU$7,30%,0)</f>
        <v>0</v>
      </c>
      <c r="R37" s="4"/>
    </row>
    <row r="38" spans="1:18">
      <c r="A38" s="2" t="s">
        <v>12</v>
      </c>
      <c r="B38" s="2" t="s">
        <v>254</v>
      </c>
      <c r="C38" s="2" t="s">
        <v>254</v>
      </c>
      <c r="D38" s="4"/>
      <c r="E38" s="6">
        <v>50</v>
      </c>
      <c r="F38" s="6"/>
      <c r="G38" s="6"/>
      <c r="H38" s="6"/>
      <c r="I38" s="17">
        <v>0.5</v>
      </c>
      <c r="J38" s="2">
        <v>2.5</v>
      </c>
      <c r="K38" s="2">
        <v>4.2</v>
      </c>
      <c r="L38" s="2">
        <v>0.5</v>
      </c>
      <c r="O38" s="18"/>
      <c r="P38" s="18"/>
      <c r="Q38" s="18"/>
      <c r="R38" s="4"/>
    </row>
    <row r="39" spans="1:18">
      <c r="A39" s="2" t="s">
        <v>12</v>
      </c>
      <c r="B39" s="2" t="s">
        <v>308</v>
      </c>
      <c r="C39" s="2" t="s">
        <v>250</v>
      </c>
      <c r="D39" s="4" t="s">
        <v>252</v>
      </c>
      <c r="E39" s="6">
        <v>50</v>
      </c>
      <c r="F39" s="6"/>
      <c r="G39" s="6"/>
      <c r="H39" s="6"/>
      <c r="I39" s="17"/>
      <c r="O39" s="18"/>
      <c r="P39" s="18"/>
      <c r="Q39" s="18">
        <f>IF(配装!$AU$7,30%,0)</f>
        <v>0</v>
      </c>
      <c r="R39" s="4"/>
    </row>
    <row r="40" spans="1:18">
      <c r="A40" s="2" t="s">
        <v>12</v>
      </c>
      <c r="B40" s="2" t="s">
        <v>13</v>
      </c>
      <c r="C40" s="2" t="s">
        <v>241</v>
      </c>
      <c r="D40" s="4"/>
      <c r="E40" s="6">
        <v>500</v>
      </c>
      <c r="F40" s="6"/>
      <c r="G40" s="6"/>
      <c r="H40" s="6"/>
      <c r="I40" s="17"/>
      <c r="J40" s="2">
        <v>6.3</v>
      </c>
      <c r="K40" s="2">
        <v>10.4</v>
      </c>
      <c r="L40" s="2">
        <v>1.3</v>
      </c>
      <c r="M40" s="2" t="s">
        <v>309</v>
      </c>
      <c r="O40" s="4"/>
      <c r="P40" s="4"/>
      <c r="Q40" s="4"/>
      <c r="R40" s="4"/>
    </row>
    <row r="41" spans="1:18">
      <c r="A41" s="2" t="s">
        <v>12</v>
      </c>
      <c r="B41" s="2" t="s">
        <v>310</v>
      </c>
      <c r="C41" s="2" t="s">
        <v>250</v>
      </c>
      <c r="D41" s="4" t="s">
        <v>252</v>
      </c>
      <c r="E41" s="6">
        <v>120.2</v>
      </c>
      <c r="F41" s="6"/>
      <c r="G41" s="6"/>
      <c r="H41" s="6"/>
      <c r="I41" s="17"/>
      <c r="O41" s="4"/>
      <c r="P41" s="4"/>
      <c r="Q41" s="18">
        <f>IF(配装!$AU$7,30%,0)</f>
        <v>0</v>
      </c>
      <c r="R41" s="4"/>
    </row>
    <row r="42" spans="1:18">
      <c r="A42" s="2" t="s">
        <v>12</v>
      </c>
      <c r="B42" s="2" t="s">
        <v>14</v>
      </c>
      <c r="C42" s="2" t="s">
        <v>246</v>
      </c>
      <c r="D42" s="4"/>
      <c r="E42" s="6">
        <v>1000</v>
      </c>
      <c r="F42" s="6"/>
      <c r="G42" s="6"/>
      <c r="H42" s="6"/>
      <c r="I42" s="17"/>
      <c r="L42" s="2">
        <v>1.5</v>
      </c>
      <c r="O42" s="18"/>
      <c r="P42" s="18"/>
      <c r="Q42" s="18"/>
      <c r="R42" s="4"/>
    </row>
    <row r="43" spans="1:18">
      <c r="A43" s="2" t="s">
        <v>26</v>
      </c>
      <c r="B43" s="2" t="s">
        <v>22</v>
      </c>
      <c r="C43" s="2" t="s">
        <v>22</v>
      </c>
      <c r="D43" s="4"/>
      <c r="E43" s="6">
        <v>200</v>
      </c>
      <c r="F43" s="6"/>
      <c r="G43" s="6"/>
      <c r="H43" s="6"/>
      <c r="I43" s="17">
        <v>1.3</v>
      </c>
      <c r="J43" s="2">
        <v>4.9</v>
      </c>
      <c r="L43" s="2">
        <v>2.5</v>
      </c>
      <c r="O43" s="18"/>
      <c r="P43" s="18"/>
      <c r="Q43" s="18"/>
      <c r="R43" s="4"/>
    </row>
    <row r="44" spans="1:18">
      <c r="A44" s="2" t="s">
        <v>26</v>
      </c>
      <c r="B44" s="2" t="s">
        <v>28</v>
      </c>
      <c r="C44" s="2" t="s">
        <v>250</v>
      </c>
      <c r="D44" s="4"/>
      <c r="E44" s="6">
        <f>33.3*6</f>
        <v>199.8</v>
      </c>
      <c r="F44" s="6"/>
      <c r="G44" s="6"/>
      <c r="H44" s="6"/>
      <c r="I44" s="17">
        <v>0.3</v>
      </c>
      <c r="J44" s="2">
        <v>0</v>
      </c>
      <c r="K44" s="2">
        <v>0</v>
      </c>
      <c r="L44" s="2">
        <v>0</v>
      </c>
      <c r="O44" s="18"/>
      <c r="P44" s="18"/>
      <c r="Q44" s="18"/>
      <c r="R44" s="4"/>
    </row>
    <row r="45" spans="1:18">
      <c r="A45" s="2" t="s">
        <v>26</v>
      </c>
      <c r="B45" s="2" t="s">
        <v>29</v>
      </c>
      <c r="C45" s="2" t="s">
        <v>250</v>
      </c>
      <c r="D45" s="4" t="s">
        <v>248</v>
      </c>
      <c r="E45" s="6">
        <f>IF(配装!AS8,2,1)*15</f>
        <v>30</v>
      </c>
      <c r="F45" s="6"/>
      <c r="G45" s="6"/>
      <c r="H45" s="6"/>
      <c r="I45" s="17"/>
      <c r="O45" s="18"/>
      <c r="P45" s="18"/>
      <c r="Q45" s="18"/>
      <c r="R45" s="4"/>
    </row>
    <row r="46" spans="1:18">
      <c r="A46" s="2" t="s">
        <v>26</v>
      </c>
      <c r="B46" s="2" t="s">
        <v>30</v>
      </c>
      <c r="C46" s="2" t="s">
        <v>250</v>
      </c>
      <c r="D46" s="4" t="s">
        <v>248</v>
      </c>
      <c r="E46" s="6">
        <v>100</v>
      </c>
      <c r="F46" s="6"/>
      <c r="G46" s="6"/>
      <c r="H46" s="6"/>
      <c r="I46" s="17"/>
      <c r="N46" s="2">
        <v>40</v>
      </c>
      <c r="O46" s="18"/>
      <c r="P46" s="18"/>
      <c r="Q46" s="18"/>
      <c r="R46" s="4"/>
    </row>
    <row r="47" spans="1:18">
      <c r="A47" s="2" t="s">
        <v>26</v>
      </c>
      <c r="B47" s="2" t="s">
        <v>27</v>
      </c>
      <c r="C47" s="2" t="s">
        <v>250</v>
      </c>
      <c r="D47" s="4" t="s">
        <v>248</v>
      </c>
      <c r="E47" s="6">
        <v>400</v>
      </c>
      <c r="F47" s="6"/>
      <c r="G47" s="6"/>
      <c r="H47" s="6"/>
      <c r="I47" s="17"/>
      <c r="N47" s="2">
        <v>40</v>
      </c>
      <c r="O47" s="4"/>
      <c r="P47" s="4"/>
      <c r="Q47" s="4"/>
      <c r="R47" s="4"/>
    </row>
    <row r="48" spans="1:18">
      <c r="A48" s="2" t="s">
        <v>26</v>
      </c>
      <c r="B48" s="2" t="s">
        <v>13</v>
      </c>
      <c r="C48" s="2" t="s">
        <v>241</v>
      </c>
      <c r="D48" s="4"/>
      <c r="E48" s="6">
        <v>300</v>
      </c>
      <c r="F48" s="6"/>
      <c r="G48" s="6"/>
      <c r="H48" s="6"/>
      <c r="I48" s="17"/>
      <c r="J48" s="2">
        <v>7.1</v>
      </c>
      <c r="K48" s="2">
        <v>11.802</v>
      </c>
      <c r="L48" s="2">
        <v>1.4</v>
      </c>
      <c r="O48" s="4"/>
      <c r="P48" s="4"/>
      <c r="Q48" s="18"/>
      <c r="R48" s="4"/>
    </row>
    <row r="49" spans="1:18">
      <c r="A49" s="2" t="s">
        <v>26</v>
      </c>
      <c r="B49" s="2" t="s">
        <v>14</v>
      </c>
      <c r="C49" s="2" t="s">
        <v>246</v>
      </c>
      <c r="D49" s="4"/>
      <c r="E49" s="6">
        <v>600</v>
      </c>
      <c r="F49" s="6"/>
      <c r="G49" s="6"/>
      <c r="H49" s="6"/>
      <c r="I49" s="17"/>
      <c r="L49" s="2">
        <v>1.5</v>
      </c>
      <c r="O49" s="4"/>
      <c r="P49" s="4"/>
      <c r="Q49" s="18"/>
      <c r="R49" s="4"/>
    </row>
    <row r="50" spans="1:18">
      <c r="A50" s="2" t="s">
        <v>151</v>
      </c>
      <c r="B50" s="2" t="s">
        <v>22</v>
      </c>
      <c r="C50" s="2" t="s">
        <v>22</v>
      </c>
      <c r="D50" s="4"/>
      <c r="E50" s="6">
        <v>200</v>
      </c>
      <c r="F50" s="6"/>
      <c r="G50" s="6"/>
      <c r="H50" s="6"/>
      <c r="I50" s="17">
        <v>1.3</v>
      </c>
      <c r="J50" s="2">
        <v>8.4</v>
      </c>
      <c r="L50" s="2">
        <v>2.5</v>
      </c>
      <c r="O50" s="4"/>
      <c r="P50" s="4"/>
      <c r="Q50" s="18"/>
      <c r="R50" s="4"/>
    </row>
    <row r="51" spans="1:18">
      <c r="A51" s="2" t="s">
        <v>151</v>
      </c>
      <c r="B51" s="2" t="s">
        <v>15</v>
      </c>
      <c r="C51" s="2" t="s">
        <v>250</v>
      </c>
      <c r="D51" s="4"/>
      <c r="E51" s="6">
        <f>33.5+17+60.3+18.4+77.8</f>
        <v>207</v>
      </c>
      <c r="F51" s="6"/>
      <c r="G51" s="6"/>
      <c r="H51" s="6"/>
      <c r="I51" s="17"/>
      <c r="J51" s="2">
        <v>11.499</v>
      </c>
      <c r="K51" s="2">
        <v>19.2</v>
      </c>
      <c r="L51" s="2">
        <v>2.301</v>
      </c>
      <c r="M51" s="2" t="s">
        <v>311</v>
      </c>
      <c r="O51" s="20"/>
      <c r="P51" s="20"/>
      <c r="Q51" s="20"/>
      <c r="R51" s="4"/>
    </row>
    <row r="52" spans="1:18">
      <c r="A52" s="2" t="s">
        <v>151</v>
      </c>
      <c r="B52" s="2" t="s">
        <v>17</v>
      </c>
      <c r="C52" s="2" t="s">
        <v>17</v>
      </c>
      <c r="D52" s="4"/>
      <c r="E52" s="6">
        <v>174</v>
      </c>
      <c r="F52" s="6"/>
      <c r="G52" s="6"/>
      <c r="H52" s="6"/>
      <c r="I52" s="17"/>
      <c r="J52" s="2">
        <v>4.4</v>
      </c>
      <c r="K52" s="2">
        <v>7.3</v>
      </c>
      <c r="L52" s="2">
        <v>2.5</v>
      </c>
      <c r="O52" s="20"/>
      <c r="P52" s="20"/>
      <c r="Q52" s="20"/>
      <c r="R52" s="4"/>
    </row>
    <row r="53" spans="1:18">
      <c r="A53" s="2" t="s">
        <v>151</v>
      </c>
      <c r="B53" s="2" t="s">
        <v>13</v>
      </c>
      <c r="C53" s="2" t="s">
        <v>241</v>
      </c>
      <c r="D53" s="4"/>
      <c r="E53" s="6">
        <v>180</v>
      </c>
      <c r="F53" s="6"/>
      <c r="G53" s="6"/>
      <c r="H53" s="6"/>
      <c r="I53" s="17"/>
      <c r="J53" s="2">
        <v>4.9</v>
      </c>
      <c r="K53" s="2">
        <f>8.2+IF(配装!$AZ$9,5,0)</f>
        <v>13.2</v>
      </c>
      <c r="L53" s="2">
        <v>1</v>
      </c>
      <c r="M53" s="2" t="s">
        <v>293</v>
      </c>
      <c r="O53" s="20"/>
      <c r="P53" s="20"/>
      <c r="Q53" s="20"/>
      <c r="R53" s="4"/>
    </row>
    <row r="54" spans="1:18">
      <c r="A54" s="2" t="s">
        <v>151</v>
      </c>
      <c r="B54" s="2" t="s">
        <v>14</v>
      </c>
      <c r="C54" s="2" t="s">
        <v>246</v>
      </c>
      <c r="D54" s="4"/>
      <c r="E54" s="6">
        <v>800</v>
      </c>
      <c r="F54" s="6"/>
      <c r="G54" s="6"/>
      <c r="H54" s="6"/>
      <c r="I54" s="17"/>
      <c r="L54" s="2">
        <v>1.5</v>
      </c>
      <c r="O54" s="20"/>
      <c r="P54" s="20"/>
      <c r="Q54" s="20"/>
      <c r="R54" s="4"/>
    </row>
    <row r="55" spans="1:18">
      <c r="A55" s="2" t="s">
        <v>153</v>
      </c>
      <c r="B55" s="2" t="s">
        <v>22</v>
      </c>
      <c r="C55" s="2" t="s">
        <v>22</v>
      </c>
      <c r="D55" s="4"/>
      <c r="E55" s="6">
        <v>200</v>
      </c>
      <c r="F55" s="6"/>
      <c r="G55" s="6"/>
      <c r="H55" s="6"/>
      <c r="I55" s="17">
        <v>1.3</v>
      </c>
      <c r="J55" s="2">
        <v>5</v>
      </c>
      <c r="L55" s="2">
        <v>2.5</v>
      </c>
      <c r="O55" s="20"/>
      <c r="P55" s="20"/>
      <c r="Q55" s="20"/>
      <c r="R55" s="4"/>
    </row>
    <row r="56" spans="1:18">
      <c r="A56" s="2" t="s">
        <v>153</v>
      </c>
      <c r="B56" s="2" t="s">
        <v>15</v>
      </c>
      <c r="C56" s="2" t="s">
        <v>250</v>
      </c>
      <c r="D56" s="4"/>
      <c r="E56" s="6">
        <v>340.3</v>
      </c>
      <c r="F56" s="6"/>
      <c r="G56" s="6"/>
      <c r="H56" s="6"/>
      <c r="I56" s="17">
        <v>3.6</v>
      </c>
      <c r="J56" s="2">
        <v>14.772</v>
      </c>
      <c r="K56" s="2">
        <v>24.676</v>
      </c>
      <c r="L56" s="2">
        <v>2.937</v>
      </c>
      <c r="O56" s="20"/>
      <c r="P56" s="20"/>
      <c r="Q56" s="20"/>
      <c r="R56" s="4"/>
    </row>
    <row r="57" spans="1:18">
      <c r="A57" s="2" t="s">
        <v>153</v>
      </c>
      <c r="B57" s="2" t="s">
        <v>312</v>
      </c>
      <c r="C57" s="2" t="s">
        <v>250</v>
      </c>
      <c r="D57" s="4"/>
      <c r="E57" s="6">
        <v>163.5</v>
      </c>
      <c r="F57" s="6"/>
      <c r="G57" s="6"/>
      <c r="H57" s="6"/>
      <c r="I57" s="17"/>
      <c r="J57" s="2">
        <v>7.094</v>
      </c>
      <c r="K57" s="2">
        <v>11.851</v>
      </c>
      <c r="L57" s="2">
        <v>1.411</v>
      </c>
      <c r="O57" s="20"/>
      <c r="P57" s="20"/>
      <c r="Q57" s="20"/>
      <c r="R57" s="4"/>
    </row>
    <row r="58" spans="1:18">
      <c r="A58" s="2" t="s">
        <v>153</v>
      </c>
      <c r="B58" s="2" t="s">
        <v>313</v>
      </c>
      <c r="C58" s="2" t="s">
        <v>250</v>
      </c>
      <c r="D58" s="4"/>
      <c r="E58" s="6">
        <v>103.5</v>
      </c>
      <c r="F58" s="6"/>
      <c r="G58" s="6"/>
      <c r="H58" s="6"/>
      <c r="I58" s="17">
        <v>0.65</v>
      </c>
      <c r="J58" s="2">
        <v>3</v>
      </c>
      <c r="K58" s="2">
        <v>5</v>
      </c>
      <c r="L58" s="2">
        <v>0.6</v>
      </c>
      <c r="O58" s="20"/>
      <c r="P58" s="20"/>
      <c r="Q58" s="20"/>
      <c r="R58" s="4"/>
    </row>
    <row r="59" spans="1:18">
      <c r="A59" s="2" t="s">
        <v>153</v>
      </c>
      <c r="B59" s="2" t="s">
        <v>314</v>
      </c>
      <c r="C59" s="2" t="s">
        <v>250</v>
      </c>
      <c r="D59" s="4"/>
      <c r="E59" s="6">
        <f>60</f>
        <v>60</v>
      </c>
      <c r="F59" s="6"/>
      <c r="G59" s="6"/>
      <c r="H59" s="6"/>
      <c r="I59" s="17"/>
      <c r="O59" s="18"/>
      <c r="P59" s="18"/>
      <c r="Q59" s="18"/>
      <c r="R59" s="4"/>
    </row>
    <row r="60" spans="1:18">
      <c r="A60" s="2" t="s">
        <v>153</v>
      </c>
      <c r="B60" s="2" t="s">
        <v>17</v>
      </c>
      <c r="C60" s="2" t="s">
        <v>17</v>
      </c>
      <c r="D60" s="4"/>
      <c r="E60" s="6">
        <v>144</v>
      </c>
      <c r="F60" s="6"/>
      <c r="G60" s="6"/>
      <c r="H60" s="6"/>
      <c r="I60" s="17"/>
      <c r="J60" s="2">
        <v>3.6</v>
      </c>
      <c r="K60" s="2">
        <v>6</v>
      </c>
      <c r="L60" s="2">
        <v>2.5</v>
      </c>
      <c r="O60" s="18"/>
      <c r="P60" s="18"/>
      <c r="Q60" s="18"/>
      <c r="R60" s="4"/>
    </row>
    <row r="61" spans="1:18">
      <c r="A61" s="2" t="s">
        <v>153</v>
      </c>
      <c r="B61" s="2" t="s">
        <v>13</v>
      </c>
      <c r="C61" s="2" t="s">
        <v>241</v>
      </c>
      <c r="D61" s="4"/>
      <c r="E61" s="6">
        <v>120</v>
      </c>
      <c r="F61" s="6"/>
      <c r="G61" s="6"/>
      <c r="H61" s="6"/>
      <c r="I61" s="17"/>
      <c r="J61" s="2">
        <v>3.4</v>
      </c>
      <c r="K61" s="2">
        <v>5.6</v>
      </c>
      <c r="L61" s="2">
        <v>0.7</v>
      </c>
      <c r="O61" s="4"/>
      <c r="P61" s="4"/>
      <c r="Q61" s="4"/>
      <c r="R61" s="4"/>
    </row>
    <row r="62" spans="1:18">
      <c r="A62" s="2" t="s">
        <v>153</v>
      </c>
      <c r="B62" s="2" t="s">
        <v>315</v>
      </c>
      <c r="C62" s="2" t="s">
        <v>241</v>
      </c>
      <c r="D62" s="4"/>
      <c r="E62" s="6">
        <v>420</v>
      </c>
      <c r="F62" s="6"/>
      <c r="G62" s="6"/>
      <c r="H62" s="6"/>
      <c r="I62" s="17"/>
      <c r="J62" s="2">
        <v>3.348</v>
      </c>
      <c r="K62" s="2">
        <v>5.6</v>
      </c>
      <c r="L62" s="2">
        <v>0.7</v>
      </c>
      <c r="O62" s="4"/>
      <c r="P62" s="4"/>
      <c r="Q62" s="4"/>
      <c r="R62" s="4"/>
    </row>
    <row r="63" spans="1:18">
      <c r="A63" s="2" t="s">
        <v>153</v>
      </c>
      <c r="B63" s="2" t="s">
        <v>316</v>
      </c>
      <c r="C63" s="2" t="s">
        <v>241</v>
      </c>
      <c r="D63" s="4"/>
      <c r="E63" s="6">
        <f>300</f>
        <v>300</v>
      </c>
      <c r="F63" s="6"/>
      <c r="G63" s="6"/>
      <c r="H63" s="6"/>
      <c r="I63" s="17"/>
      <c r="O63" s="4"/>
      <c r="P63" s="4"/>
      <c r="Q63" s="4"/>
      <c r="R63" s="4"/>
    </row>
    <row r="64" spans="1:18">
      <c r="A64" s="2" t="s">
        <v>153</v>
      </c>
      <c r="B64" s="2" t="s">
        <v>317</v>
      </c>
      <c r="C64" s="2" t="s">
        <v>241</v>
      </c>
      <c r="D64" s="4"/>
      <c r="E64" s="6">
        <v>280</v>
      </c>
      <c r="F64" s="6"/>
      <c r="G64" s="6"/>
      <c r="H64" s="6"/>
      <c r="I64" s="17"/>
      <c r="J64" s="2">
        <v>3.4</v>
      </c>
      <c r="K64" s="2">
        <v>5.6</v>
      </c>
      <c r="L64" s="2">
        <v>0.7</v>
      </c>
      <c r="O64" s="4"/>
      <c r="P64" s="4"/>
      <c r="Q64" s="4"/>
      <c r="R64" s="4"/>
    </row>
    <row r="65" spans="1:18">
      <c r="A65" s="2" t="s">
        <v>153</v>
      </c>
      <c r="B65" s="2" t="s">
        <v>318</v>
      </c>
      <c r="C65" s="2" t="s">
        <v>241</v>
      </c>
      <c r="D65" s="4"/>
      <c r="E65" s="6">
        <f>200</f>
        <v>200</v>
      </c>
      <c r="F65" s="6"/>
      <c r="G65" s="6"/>
      <c r="H65" s="6"/>
      <c r="I65" s="17"/>
      <c r="O65" s="4"/>
      <c r="P65" s="4"/>
      <c r="Q65" s="4"/>
      <c r="R65" s="4"/>
    </row>
    <row r="66" spans="1:18">
      <c r="A66" s="2" t="s">
        <v>153</v>
      </c>
      <c r="B66" s="2" t="s">
        <v>14</v>
      </c>
      <c r="C66" s="2" t="s">
        <v>246</v>
      </c>
      <c r="D66" s="4"/>
      <c r="E66" s="6">
        <f>400</f>
        <v>400</v>
      </c>
      <c r="F66" s="6"/>
      <c r="G66" s="6"/>
      <c r="H66" s="6"/>
      <c r="I66" s="17"/>
      <c r="L66" s="2">
        <v>2.5</v>
      </c>
      <c r="O66" s="4"/>
      <c r="P66" s="4"/>
      <c r="Q66" s="4"/>
      <c r="R66" s="4"/>
    </row>
    <row r="67" spans="1:18">
      <c r="A67" s="2" t="s">
        <v>153</v>
      </c>
      <c r="B67" s="2" t="s">
        <v>319</v>
      </c>
      <c r="C67" s="2" t="s">
        <v>246</v>
      </c>
      <c r="D67" s="4" t="s">
        <v>253</v>
      </c>
      <c r="E67" s="6">
        <f>40*6</f>
        <v>240</v>
      </c>
      <c r="F67" s="6"/>
      <c r="G67" s="6"/>
      <c r="H67" s="6"/>
      <c r="I67" s="17"/>
      <c r="O67" s="18"/>
      <c r="P67" s="18"/>
      <c r="Q67" s="18"/>
      <c r="R67" s="4"/>
    </row>
    <row r="68" spans="1:18">
      <c r="A68" s="2" t="s">
        <v>157</v>
      </c>
      <c r="B68" s="2" t="s">
        <v>22</v>
      </c>
      <c r="C68" s="2" t="s">
        <v>22</v>
      </c>
      <c r="D68" s="4"/>
      <c r="E68" s="6">
        <v>200</v>
      </c>
      <c r="F68" s="6"/>
      <c r="G68" s="6"/>
      <c r="H68" s="6"/>
      <c r="I68" s="17">
        <v>1.3</v>
      </c>
      <c r="J68" s="2">
        <v>10.9</v>
      </c>
      <c r="L68" s="2">
        <v>2.5</v>
      </c>
      <c r="O68" s="18"/>
      <c r="P68" s="18"/>
      <c r="Q68" s="18"/>
      <c r="R68" s="4"/>
    </row>
    <row r="69" spans="1:18">
      <c r="A69" s="2" t="s">
        <v>157</v>
      </c>
      <c r="B69" s="2" t="s">
        <v>13</v>
      </c>
      <c r="C69" s="2" t="s">
        <v>241</v>
      </c>
      <c r="D69" s="4"/>
      <c r="E69" s="6">
        <v>400</v>
      </c>
      <c r="F69" s="6"/>
      <c r="G69" s="6"/>
      <c r="H69" s="6"/>
      <c r="I69" s="17"/>
      <c r="J69" s="2">
        <v>9.3</v>
      </c>
      <c r="K69" s="2">
        <v>15.6</v>
      </c>
      <c r="L69" s="2">
        <v>1.9</v>
      </c>
      <c r="M69" s="2" t="s">
        <v>320</v>
      </c>
      <c r="O69" s="18"/>
      <c r="P69" s="18"/>
      <c r="Q69" s="18"/>
      <c r="R69" s="4"/>
    </row>
    <row r="70" spans="1:18">
      <c r="A70" s="2" t="s">
        <v>157</v>
      </c>
      <c r="B70" s="2" t="s">
        <v>321</v>
      </c>
      <c r="C70" s="2" t="s">
        <v>241</v>
      </c>
      <c r="D70" s="4"/>
      <c r="E70" s="6">
        <v>400</v>
      </c>
      <c r="F70" s="6"/>
      <c r="G70" s="6"/>
      <c r="H70" s="6"/>
      <c r="I70" s="17"/>
      <c r="J70" s="2">
        <v>14.001</v>
      </c>
      <c r="K70" s="2">
        <v>23.4</v>
      </c>
      <c r="L70" s="2">
        <v>2.8</v>
      </c>
      <c r="N70" s="2">
        <f>IF(配装!AV11,IF(中间!N2,0,120),0)</f>
        <v>0</v>
      </c>
      <c r="O70" s="4"/>
      <c r="P70" s="4"/>
      <c r="Q70" s="4"/>
      <c r="R70" s="4"/>
    </row>
    <row r="71" spans="1:18">
      <c r="A71" s="2" t="s">
        <v>157</v>
      </c>
      <c r="B71" s="2" t="s">
        <v>14</v>
      </c>
      <c r="C71" s="2" t="s">
        <v>246</v>
      </c>
      <c r="D71" s="4"/>
      <c r="E71" s="6">
        <v>900</v>
      </c>
      <c r="F71" s="6"/>
      <c r="G71" s="6"/>
      <c r="H71" s="6"/>
      <c r="I71" s="17"/>
      <c r="L71" s="2">
        <v>2.5</v>
      </c>
      <c r="O71" s="4"/>
      <c r="P71" s="4"/>
      <c r="Q71" s="4"/>
      <c r="R71" s="4"/>
    </row>
    <row r="72" spans="1:18">
      <c r="A72" s="2" t="s">
        <v>157</v>
      </c>
      <c r="B72" s="2" t="s">
        <v>322</v>
      </c>
      <c r="C72" s="2" t="s">
        <v>246</v>
      </c>
      <c r="D72" s="4"/>
      <c r="E72" s="6">
        <f>600/配装!AA11</f>
        <v>300.149380278875</v>
      </c>
      <c r="F72" s="6"/>
      <c r="G72" s="6"/>
      <c r="H72" s="6"/>
      <c r="I72" s="17"/>
      <c r="O72" s="4"/>
      <c r="P72" s="4"/>
      <c r="Q72" s="4"/>
      <c r="R72" s="4"/>
    </row>
    <row r="73" spans="1:18">
      <c r="A73" s="2" t="s">
        <v>23</v>
      </c>
      <c r="B73" s="2" t="s">
        <v>22</v>
      </c>
      <c r="C73" s="2" t="s">
        <v>22</v>
      </c>
      <c r="D73" s="4"/>
      <c r="E73" s="6">
        <v>200</v>
      </c>
      <c r="F73" s="6"/>
      <c r="G73" s="6"/>
      <c r="H73" s="6"/>
      <c r="I73" s="17">
        <v>1.3</v>
      </c>
      <c r="J73" s="2">
        <v>6.1</v>
      </c>
      <c r="L73" s="2">
        <v>2.5</v>
      </c>
      <c r="O73" s="4"/>
      <c r="P73" s="4"/>
      <c r="Q73" s="4"/>
      <c r="R73" s="4"/>
    </row>
    <row r="74" spans="1:18">
      <c r="A74" s="2" t="s">
        <v>23</v>
      </c>
      <c r="B74" s="2" t="s">
        <v>13</v>
      </c>
      <c r="C74" s="2" t="s">
        <v>241</v>
      </c>
      <c r="D74" s="4"/>
      <c r="F74" s="6"/>
      <c r="G74" s="6">
        <v>210</v>
      </c>
      <c r="I74" s="17"/>
      <c r="J74" s="2">
        <v>12</v>
      </c>
      <c r="K74" s="2">
        <v>20.1</v>
      </c>
      <c r="L74" s="2">
        <v>2.4</v>
      </c>
      <c r="O74" s="4"/>
      <c r="P74" s="4"/>
      <c r="Q74" s="4"/>
      <c r="R74" s="4"/>
    </row>
    <row r="75" spans="1:18">
      <c r="A75" s="2" t="s">
        <v>23</v>
      </c>
      <c r="B75" s="2" t="s">
        <v>24</v>
      </c>
      <c r="C75" s="2" t="s">
        <v>241</v>
      </c>
      <c r="D75" s="4" t="s">
        <v>253</v>
      </c>
      <c r="E75" s="6"/>
      <c r="F75" s="6"/>
      <c r="G75" s="6">
        <f>20*10</f>
        <v>200</v>
      </c>
      <c r="H75" s="6"/>
      <c r="I75" s="17"/>
      <c r="O75" s="4"/>
      <c r="P75" s="4"/>
      <c r="Q75" s="4"/>
      <c r="R75" s="4"/>
    </row>
    <row r="76" spans="1:18">
      <c r="A76" s="2" t="s">
        <v>23</v>
      </c>
      <c r="B76" s="2" t="s">
        <v>14</v>
      </c>
      <c r="C76" s="2" t="s">
        <v>246</v>
      </c>
      <c r="D76" s="4"/>
      <c r="E76" s="6"/>
      <c r="F76" s="6"/>
      <c r="G76" s="6">
        <f>5*100</f>
        <v>500</v>
      </c>
      <c r="H76" s="6"/>
      <c r="I76" s="17"/>
      <c r="L76" s="2">
        <f>5*2.5</f>
        <v>12.5</v>
      </c>
      <c r="N76" s="2">
        <f>IF(配装!AV12,20,0)</f>
        <v>20</v>
      </c>
      <c r="O76" s="18"/>
      <c r="P76" s="18"/>
      <c r="Q76" s="18"/>
      <c r="R76" s="21"/>
    </row>
    <row r="77" spans="1:18">
      <c r="A77" s="2" t="s">
        <v>162</v>
      </c>
      <c r="B77" s="2" t="s">
        <v>22</v>
      </c>
      <c r="C77" s="2" t="s">
        <v>22</v>
      </c>
      <c r="D77" s="4"/>
      <c r="E77" s="6">
        <v>200</v>
      </c>
      <c r="F77" s="6"/>
      <c r="G77" s="6"/>
      <c r="H77" s="6"/>
      <c r="I77" s="17">
        <v>1.3</v>
      </c>
      <c r="J77" s="2">
        <v>7.8</v>
      </c>
      <c r="L77" s="2">
        <v>2.5</v>
      </c>
      <c r="O77" s="18"/>
      <c r="P77" s="18"/>
      <c r="Q77" s="18"/>
      <c r="R77" s="21"/>
    </row>
    <row r="78" spans="1:18">
      <c r="A78" s="2" t="s">
        <v>162</v>
      </c>
      <c r="B78" s="2" t="s">
        <v>323</v>
      </c>
      <c r="C78" s="2" t="s">
        <v>250</v>
      </c>
      <c r="D78" s="4"/>
      <c r="E78" s="6">
        <v>389.8</v>
      </c>
      <c r="F78" s="6"/>
      <c r="G78" s="6"/>
      <c r="H78" s="6"/>
      <c r="I78" s="17"/>
      <c r="J78" s="2">
        <v>19.501</v>
      </c>
      <c r="K78" s="2">
        <v>32.499</v>
      </c>
      <c r="L78" s="2">
        <v>3.898</v>
      </c>
      <c r="M78" s="2" t="s">
        <v>324</v>
      </c>
      <c r="O78" s="18"/>
      <c r="P78" s="18"/>
      <c r="Q78" s="18"/>
      <c r="R78" s="21"/>
    </row>
    <row r="79" spans="1:18">
      <c r="A79" s="2" t="s">
        <v>162</v>
      </c>
      <c r="B79" s="2" t="s">
        <v>325</v>
      </c>
      <c r="C79" s="2" t="s">
        <v>250</v>
      </c>
      <c r="D79" s="4"/>
      <c r="E79" s="6">
        <v>433.6</v>
      </c>
      <c r="F79" s="6"/>
      <c r="G79" s="6"/>
      <c r="H79" s="6"/>
      <c r="I79" s="17"/>
      <c r="J79" s="2">
        <v>21.698</v>
      </c>
      <c r="K79" s="2">
        <v>36.102</v>
      </c>
      <c r="L79" s="2">
        <v>4.3</v>
      </c>
      <c r="O79" s="18"/>
      <c r="P79" s="18"/>
      <c r="Q79" s="18"/>
      <c r="R79" s="21"/>
    </row>
    <row r="80" spans="1:18">
      <c r="A80" s="2" t="s">
        <v>162</v>
      </c>
      <c r="B80" s="2" t="s">
        <v>326</v>
      </c>
      <c r="C80" s="2" t="s">
        <v>250</v>
      </c>
      <c r="D80" s="4"/>
      <c r="E80" s="6">
        <v>79</v>
      </c>
      <c r="F80" s="6"/>
      <c r="G80" s="6"/>
      <c r="H80" s="6"/>
      <c r="I80" s="17"/>
      <c r="J80" s="2">
        <v>4</v>
      </c>
      <c r="K80" s="2">
        <v>6.6</v>
      </c>
      <c r="L80" s="2">
        <v>0.8</v>
      </c>
      <c r="O80" s="18"/>
      <c r="P80" s="18"/>
      <c r="Q80" s="18"/>
      <c r="R80" s="21"/>
    </row>
    <row r="81" spans="1:18">
      <c r="A81" s="2" t="s">
        <v>162</v>
      </c>
      <c r="B81" s="2" t="s">
        <v>17</v>
      </c>
      <c r="C81" s="2" t="s">
        <v>17</v>
      </c>
      <c r="D81" s="4"/>
      <c r="E81" s="6">
        <v>214</v>
      </c>
      <c r="F81" s="6"/>
      <c r="G81" s="6"/>
      <c r="H81" s="6"/>
      <c r="I81" s="17"/>
      <c r="J81" s="2">
        <v>5.398</v>
      </c>
      <c r="K81" s="2">
        <v>8.899</v>
      </c>
      <c r="L81" s="2">
        <v>2.498</v>
      </c>
      <c r="O81" s="18"/>
      <c r="P81" s="18"/>
      <c r="Q81" s="18"/>
      <c r="R81" s="21"/>
    </row>
    <row r="82" spans="1:18">
      <c r="A82" s="2" t="s">
        <v>162</v>
      </c>
      <c r="B82" s="2" t="s">
        <v>29</v>
      </c>
      <c r="C82" s="2" t="s">
        <v>250</v>
      </c>
      <c r="D82" s="4" t="s">
        <v>253</v>
      </c>
      <c r="E82" s="6">
        <f>IF(配装!AR13,6,4)</f>
        <v>4</v>
      </c>
      <c r="F82" s="6"/>
      <c r="G82" s="6"/>
      <c r="H82" s="6"/>
      <c r="I82" s="17"/>
      <c r="O82" s="18"/>
      <c r="P82" s="18"/>
      <c r="Q82" s="18"/>
      <c r="R82" s="21"/>
    </row>
    <row r="83" spans="1:18">
      <c r="A83" s="2" t="s">
        <v>162</v>
      </c>
      <c r="B83" s="2" t="s">
        <v>13</v>
      </c>
      <c r="C83" s="2" t="s">
        <v>241</v>
      </c>
      <c r="D83" s="4"/>
      <c r="E83" s="6">
        <v>300</v>
      </c>
      <c r="F83" s="6"/>
      <c r="G83" s="6"/>
      <c r="H83" s="6"/>
      <c r="I83" s="17"/>
      <c r="J83" s="2">
        <v>6.4</v>
      </c>
      <c r="K83" s="2">
        <v>10.7</v>
      </c>
      <c r="L83" s="2">
        <v>1.3</v>
      </c>
      <c r="M83" s="2" t="s">
        <v>327</v>
      </c>
      <c r="O83" s="18"/>
      <c r="P83" s="18"/>
      <c r="Q83" s="18"/>
      <c r="R83" s="21"/>
    </row>
    <row r="84" spans="1:18">
      <c r="A84" s="2" t="s">
        <v>162</v>
      </c>
      <c r="B84" s="2" t="s">
        <v>294</v>
      </c>
      <c r="C84" s="2" t="s">
        <v>241</v>
      </c>
      <c r="D84" s="4"/>
      <c r="E84" s="22"/>
      <c r="F84" s="6"/>
      <c r="G84" s="6"/>
      <c r="H84" s="6"/>
      <c r="I84" s="17"/>
      <c r="J84" s="23"/>
      <c r="K84" s="23"/>
      <c r="L84" s="23"/>
      <c r="O84" s="18"/>
      <c r="P84" s="18"/>
      <c r="Q84" s="18"/>
      <c r="R84" s="21"/>
    </row>
    <row r="85" spans="1:18">
      <c r="A85" s="2" t="s">
        <v>162</v>
      </c>
      <c r="B85" s="2" t="s">
        <v>14</v>
      </c>
      <c r="C85" s="2" t="s">
        <v>246</v>
      </c>
      <c r="D85" s="4"/>
      <c r="E85" s="6">
        <v>1000</v>
      </c>
      <c r="F85" s="6"/>
      <c r="G85" s="6"/>
      <c r="H85" s="6"/>
      <c r="I85" s="17"/>
      <c r="L85" s="2">
        <v>2.5</v>
      </c>
      <c r="O85" s="18"/>
      <c r="P85" s="18"/>
      <c r="Q85" s="18"/>
      <c r="R85" s="21"/>
    </row>
    <row r="86" spans="1:18">
      <c r="A86" s="2" t="s">
        <v>165</v>
      </c>
      <c r="B86" s="2" t="s">
        <v>22</v>
      </c>
      <c r="C86" s="2" t="s">
        <v>22</v>
      </c>
      <c r="D86" s="4"/>
      <c r="E86" s="6">
        <v>200</v>
      </c>
      <c r="F86" s="6"/>
      <c r="G86" s="6"/>
      <c r="H86" s="6"/>
      <c r="I86" s="17">
        <v>1.3</v>
      </c>
      <c r="J86" s="2">
        <v>5.6</v>
      </c>
      <c r="L86" s="2">
        <v>2.5</v>
      </c>
      <c r="O86" s="18"/>
      <c r="P86" s="18"/>
      <c r="Q86" s="18"/>
      <c r="R86" s="4"/>
    </row>
    <row r="87" spans="1:18">
      <c r="A87" s="2" t="s">
        <v>165</v>
      </c>
      <c r="B87" s="2" t="s">
        <v>328</v>
      </c>
      <c r="C87" s="2" t="s">
        <v>250</v>
      </c>
      <c r="D87" s="4"/>
      <c r="E87" s="6">
        <v>467.9</v>
      </c>
      <c r="F87" s="6"/>
      <c r="G87" s="6"/>
      <c r="H87" s="6"/>
      <c r="I87" s="17"/>
      <c r="J87" s="2">
        <v>3.978</v>
      </c>
      <c r="K87" s="2">
        <v>6.613</v>
      </c>
      <c r="L87" s="2">
        <v>0.819</v>
      </c>
      <c r="O87" s="18"/>
      <c r="P87" s="18"/>
      <c r="Q87" s="18"/>
      <c r="R87" s="21"/>
    </row>
    <row r="88" spans="1:18">
      <c r="A88" s="2" t="s">
        <v>165</v>
      </c>
      <c r="B88" s="2" t="s">
        <v>329</v>
      </c>
      <c r="C88" s="2" t="s">
        <v>250</v>
      </c>
      <c r="D88" s="4"/>
      <c r="E88" s="6">
        <f>467.9+300</f>
        <v>767.9</v>
      </c>
      <c r="F88" s="6"/>
      <c r="G88" s="6"/>
      <c r="H88" s="6"/>
      <c r="I88" s="17"/>
      <c r="J88" s="2">
        <v>3.978</v>
      </c>
      <c r="K88" s="2">
        <v>6.613</v>
      </c>
      <c r="L88" s="2">
        <f>0.819+2</f>
        <v>2.819</v>
      </c>
      <c r="O88" s="18"/>
      <c r="P88" s="18"/>
      <c r="Q88" s="18"/>
      <c r="R88" s="4"/>
    </row>
    <row r="89" spans="1:18">
      <c r="A89" s="2" t="s">
        <v>165</v>
      </c>
      <c r="B89" s="2" t="s">
        <v>13</v>
      </c>
      <c r="C89" s="2" t="s">
        <v>241</v>
      </c>
      <c r="D89" s="4"/>
      <c r="E89" s="6">
        <v>300</v>
      </c>
      <c r="F89" s="6"/>
      <c r="G89" s="6"/>
      <c r="H89" s="6"/>
      <c r="I89" s="17"/>
      <c r="J89" s="2">
        <v>6.099</v>
      </c>
      <c r="K89" s="2">
        <v>10.098</v>
      </c>
      <c r="L89" s="2">
        <v>1.202</v>
      </c>
      <c r="O89" s="18"/>
      <c r="P89" s="18"/>
      <c r="Q89" s="18"/>
      <c r="R89" s="21"/>
    </row>
    <row r="90" spans="1:18">
      <c r="A90" s="2" t="s">
        <v>165</v>
      </c>
      <c r="B90" s="2" t="s">
        <v>330</v>
      </c>
      <c r="C90" s="2" t="s">
        <v>241</v>
      </c>
      <c r="D90" s="4"/>
      <c r="E90" s="6">
        <f>300*IF(配装!$AR$14,2,1.5)</f>
        <v>450</v>
      </c>
      <c r="F90" s="6"/>
      <c r="G90" s="6"/>
      <c r="H90" s="6"/>
      <c r="I90" s="17"/>
      <c r="J90" s="2">
        <v>6.099</v>
      </c>
      <c r="K90" s="2">
        <v>10.098</v>
      </c>
      <c r="L90" s="2">
        <v>1.202</v>
      </c>
      <c r="O90" s="18"/>
      <c r="P90" s="18"/>
      <c r="Q90" s="18"/>
      <c r="R90" s="21"/>
    </row>
    <row r="91" spans="1:18">
      <c r="A91" s="2" t="s">
        <v>165</v>
      </c>
      <c r="B91" s="2" t="s">
        <v>331</v>
      </c>
      <c r="C91" s="2" t="s">
        <v>241</v>
      </c>
      <c r="D91" s="4"/>
      <c r="E91" s="6">
        <f>300*IF(配装!$AR$14,3,2)</f>
        <v>600</v>
      </c>
      <c r="F91" s="6"/>
      <c r="G91" s="6"/>
      <c r="H91" s="6"/>
      <c r="I91" s="17"/>
      <c r="J91" s="2">
        <v>6.101</v>
      </c>
      <c r="K91" s="2">
        <v>10.1</v>
      </c>
      <c r="L91" s="2">
        <v>1.199</v>
      </c>
      <c r="O91" s="18"/>
      <c r="P91" s="18"/>
      <c r="Q91" s="18"/>
      <c r="R91" s="21"/>
    </row>
    <row r="92" spans="1:18">
      <c r="A92" s="2" t="s">
        <v>165</v>
      </c>
      <c r="B92" s="2" t="s">
        <v>14</v>
      </c>
      <c r="C92" s="2" t="s">
        <v>246</v>
      </c>
      <c r="D92" s="4"/>
      <c r="E92" s="6">
        <v>800</v>
      </c>
      <c r="F92" s="6"/>
      <c r="G92" s="6"/>
      <c r="H92" s="6"/>
      <c r="I92" s="17"/>
      <c r="L92" s="2">
        <v>2.501</v>
      </c>
      <c r="O92" s="18"/>
      <c r="P92" s="18"/>
      <c r="Q92" s="18"/>
      <c r="R92" s="21"/>
    </row>
    <row r="93" spans="1:18">
      <c r="A93" s="2" t="s">
        <v>167</v>
      </c>
      <c r="B93" s="2" t="s">
        <v>22</v>
      </c>
      <c r="C93" s="2" t="s">
        <v>22</v>
      </c>
      <c r="D93" s="4"/>
      <c r="E93" s="6">
        <v>200</v>
      </c>
      <c r="F93" s="6"/>
      <c r="G93" s="6"/>
      <c r="H93" s="6"/>
      <c r="I93" s="17">
        <v>1.3</v>
      </c>
      <c r="J93" s="2">
        <v>7.6</v>
      </c>
      <c r="L93" s="2">
        <v>2.5</v>
      </c>
      <c r="O93" s="18"/>
      <c r="P93" s="18"/>
      <c r="Q93" s="18"/>
      <c r="R93" s="21"/>
    </row>
    <row r="94" spans="1:18">
      <c r="A94" s="2" t="s">
        <v>167</v>
      </c>
      <c r="B94" s="2" t="s">
        <v>13</v>
      </c>
      <c r="C94" s="2" t="s">
        <v>241</v>
      </c>
      <c r="D94" s="4"/>
      <c r="E94" s="6"/>
      <c r="F94" s="6">
        <v>6.6</v>
      </c>
      <c r="G94" s="6"/>
      <c r="H94" s="6"/>
      <c r="I94" s="17"/>
      <c r="J94" s="2">
        <v>4.595</v>
      </c>
      <c r="K94" s="2">
        <v>7.592</v>
      </c>
      <c r="L94" s="2">
        <v>0.899</v>
      </c>
      <c r="M94" s="2" t="s">
        <v>332</v>
      </c>
      <c r="O94" s="18"/>
      <c r="P94" s="18"/>
      <c r="Q94" s="18"/>
      <c r="R94" s="21"/>
    </row>
    <row r="95" spans="1:18">
      <c r="A95" s="2" t="s">
        <v>167</v>
      </c>
      <c r="B95" s="2" t="s">
        <v>14</v>
      </c>
      <c r="C95" s="2" t="s">
        <v>246</v>
      </c>
      <c r="D95" s="4" t="s">
        <v>244</v>
      </c>
      <c r="E95" s="6"/>
      <c r="F95" s="6">
        <v>15</v>
      </c>
      <c r="G95" s="6"/>
      <c r="H95" s="6"/>
      <c r="I95" s="17"/>
      <c r="L95" s="2">
        <v>2.5</v>
      </c>
      <c r="O95" s="18"/>
      <c r="P95" s="18"/>
      <c r="Q95" s="18"/>
      <c r="R95" s="21"/>
    </row>
    <row r="96" spans="1:18">
      <c r="A96" s="2" t="s">
        <v>167</v>
      </c>
      <c r="B96" s="2" t="s">
        <v>333</v>
      </c>
      <c r="C96" s="2" t="s">
        <v>246</v>
      </c>
      <c r="D96" s="4" t="s">
        <v>244</v>
      </c>
      <c r="E96" s="6"/>
      <c r="F96" s="6">
        <v>35.1</v>
      </c>
      <c r="G96" s="6"/>
      <c r="H96" s="6"/>
      <c r="I96" s="17"/>
      <c r="J96" s="2">
        <v>18.898</v>
      </c>
      <c r="K96" s="2">
        <v>31.401</v>
      </c>
      <c r="L96" s="2">
        <v>3.799</v>
      </c>
      <c r="O96" s="18"/>
      <c r="P96" s="18"/>
      <c r="Q96" s="18"/>
      <c r="R96" s="4"/>
    </row>
    <row r="97" spans="1:18">
      <c r="A97" s="2" t="s">
        <v>169</v>
      </c>
      <c r="B97" s="2" t="s">
        <v>22</v>
      </c>
      <c r="C97" s="2" t="s">
        <v>22</v>
      </c>
      <c r="D97" s="4"/>
      <c r="E97" s="6">
        <v>200</v>
      </c>
      <c r="F97" s="6"/>
      <c r="G97" s="6"/>
      <c r="H97" s="6"/>
      <c r="I97" s="17">
        <v>1.3</v>
      </c>
      <c r="J97" s="2">
        <v>5.9</v>
      </c>
      <c r="L97" s="2">
        <v>2.5</v>
      </c>
      <c r="O97" s="18"/>
      <c r="P97" s="18"/>
      <c r="Q97" s="18"/>
      <c r="R97" s="4"/>
    </row>
    <row r="98" spans="1:18">
      <c r="A98" s="2" t="s">
        <v>169</v>
      </c>
      <c r="B98" s="2" t="s">
        <v>13</v>
      </c>
      <c r="C98" s="2" t="s">
        <v>241</v>
      </c>
      <c r="D98" s="4"/>
      <c r="E98" s="6">
        <v>200</v>
      </c>
      <c r="F98" s="6"/>
      <c r="G98" s="6"/>
      <c r="H98" s="6"/>
      <c r="I98" s="17"/>
      <c r="J98" s="2">
        <v>3.6</v>
      </c>
      <c r="K98" s="2">
        <v>6</v>
      </c>
      <c r="L98" s="2">
        <v>0.7</v>
      </c>
      <c r="O98" s="18"/>
      <c r="P98" s="18"/>
      <c r="Q98" s="18"/>
      <c r="R98" s="4"/>
    </row>
    <row r="99" spans="1:18">
      <c r="A99" s="2" t="s">
        <v>169</v>
      </c>
      <c r="B99" s="2" t="s">
        <v>334</v>
      </c>
      <c r="C99" s="2" t="s">
        <v>241</v>
      </c>
      <c r="D99" s="4"/>
      <c r="E99" s="6">
        <f>20</f>
        <v>20</v>
      </c>
      <c r="F99" s="6"/>
      <c r="G99" s="6"/>
      <c r="H99" s="6"/>
      <c r="I99" s="17"/>
      <c r="O99" s="18"/>
      <c r="P99" s="18"/>
      <c r="Q99" s="18"/>
      <c r="R99" s="4"/>
    </row>
    <row r="100" spans="1:18">
      <c r="A100" s="2" t="s">
        <v>169</v>
      </c>
      <c r="B100" s="2" t="s">
        <v>335</v>
      </c>
      <c r="C100" s="2" t="s">
        <v>241</v>
      </c>
      <c r="D100" s="4"/>
      <c r="E100" s="6">
        <f>20+30+30</f>
        <v>80</v>
      </c>
      <c r="F100" s="6"/>
      <c r="G100" s="6"/>
      <c r="H100" s="6"/>
      <c r="I100" s="17"/>
      <c r="M100" s="2" t="s">
        <v>336</v>
      </c>
      <c r="O100" s="18"/>
      <c r="P100" s="18"/>
      <c r="Q100" s="18"/>
      <c r="R100" s="4"/>
    </row>
    <row r="101" spans="1:18">
      <c r="A101" s="2" t="s">
        <v>169</v>
      </c>
      <c r="B101" s="2" t="s">
        <v>14</v>
      </c>
      <c r="C101" s="2" t="s">
        <v>246</v>
      </c>
      <c r="D101" s="4"/>
      <c r="E101" s="6">
        <v>300</v>
      </c>
      <c r="F101" s="6"/>
      <c r="G101" s="6"/>
      <c r="H101" s="6"/>
      <c r="I101" s="17"/>
      <c r="L101" s="2">
        <v>2.5</v>
      </c>
      <c r="O101" s="18"/>
      <c r="P101" s="18"/>
      <c r="Q101" s="18"/>
      <c r="R101" s="4"/>
    </row>
    <row r="102" spans="1:18">
      <c r="A102" s="2" t="s">
        <v>171</v>
      </c>
      <c r="B102" s="2" t="s">
        <v>22</v>
      </c>
      <c r="C102" s="2" t="s">
        <v>22</v>
      </c>
      <c r="D102" s="4"/>
      <c r="E102" s="6">
        <v>200</v>
      </c>
      <c r="F102" s="6"/>
      <c r="G102" s="6"/>
      <c r="H102" s="6"/>
      <c r="I102" s="17">
        <v>1.3</v>
      </c>
      <c r="J102" s="2">
        <v>8.2</v>
      </c>
      <c r="L102" s="2">
        <v>2.5</v>
      </c>
      <c r="O102" s="18"/>
      <c r="P102" s="18"/>
      <c r="Q102" s="18"/>
      <c r="R102" s="4"/>
    </row>
    <row r="103" spans="1:18">
      <c r="A103" s="2" t="s">
        <v>171</v>
      </c>
      <c r="B103" s="2" t="s">
        <v>13</v>
      </c>
      <c r="C103" s="2" t="s">
        <v>241</v>
      </c>
      <c r="D103" s="4"/>
      <c r="E103" s="6">
        <v>300</v>
      </c>
      <c r="F103" s="6"/>
      <c r="G103" s="6"/>
      <c r="H103" s="6"/>
      <c r="I103" s="17"/>
      <c r="J103" s="2">
        <v>8.499</v>
      </c>
      <c r="K103" s="2">
        <v>14.199</v>
      </c>
      <c r="L103" s="2">
        <v>1.701</v>
      </c>
      <c r="O103" s="18"/>
      <c r="P103" s="18"/>
      <c r="Q103" s="18"/>
      <c r="R103" s="4"/>
    </row>
    <row r="104" spans="1:18">
      <c r="A104" s="2" t="s">
        <v>171</v>
      </c>
      <c r="B104" s="2" t="s">
        <v>321</v>
      </c>
      <c r="C104" s="2" t="s">
        <v>241</v>
      </c>
      <c r="D104" s="4"/>
      <c r="E104" s="6">
        <v>439</v>
      </c>
      <c r="F104" s="6"/>
      <c r="G104" s="6"/>
      <c r="H104" s="6"/>
      <c r="I104" s="17"/>
      <c r="J104" s="2">
        <v>10.735</v>
      </c>
      <c r="K104" s="2">
        <v>17.899</v>
      </c>
      <c r="L104" s="2">
        <v>2.136</v>
      </c>
      <c r="O104" s="4"/>
      <c r="P104" s="4"/>
      <c r="Q104" s="4"/>
      <c r="R104" s="4"/>
    </row>
    <row r="105" spans="1:18">
      <c r="A105" s="2" t="s">
        <v>171</v>
      </c>
      <c r="B105" s="2" t="s">
        <v>337</v>
      </c>
      <c r="C105" s="2" t="s">
        <v>241</v>
      </c>
      <c r="D105" s="4"/>
      <c r="E105" s="6">
        <v>55</v>
      </c>
      <c r="F105" s="6"/>
      <c r="G105" s="6"/>
      <c r="H105" s="6"/>
      <c r="I105" s="17"/>
      <c r="J105" s="2">
        <v>1.359</v>
      </c>
      <c r="K105" s="2">
        <v>2.267</v>
      </c>
      <c r="L105" s="2">
        <v>0.27</v>
      </c>
      <c r="O105" s="18"/>
      <c r="P105" s="18"/>
      <c r="Q105" s="18"/>
      <c r="R105" s="4"/>
    </row>
    <row r="106" spans="1:18">
      <c r="A106" s="2" t="s">
        <v>171</v>
      </c>
      <c r="B106" s="2" t="s">
        <v>14</v>
      </c>
      <c r="C106" s="2" t="s">
        <v>246</v>
      </c>
      <c r="D106" s="4"/>
      <c r="E106" s="6">
        <v>600</v>
      </c>
      <c r="F106" s="6"/>
      <c r="G106" s="6"/>
      <c r="H106" s="6"/>
      <c r="I106" s="17"/>
      <c r="L106" s="2">
        <v>1.5</v>
      </c>
      <c r="O106" s="4"/>
      <c r="P106" s="4"/>
      <c r="Q106" s="4"/>
      <c r="R106" s="4"/>
    </row>
    <row r="107" spans="1:18">
      <c r="A107" s="2" t="s">
        <v>171</v>
      </c>
      <c r="B107" s="2" t="s">
        <v>338</v>
      </c>
      <c r="C107" s="2" t="s">
        <v>241</v>
      </c>
      <c r="D107" s="4"/>
      <c r="E107" s="6">
        <v>200</v>
      </c>
      <c r="F107" s="6"/>
      <c r="G107" s="6"/>
      <c r="H107" s="6"/>
      <c r="I107" s="17"/>
      <c r="J107" s="2">
        <v>8.897</v>
      </c>
      <c r="K107" s="2">
        <v>14.9</v>
      </c>
      <c r="L107" s="2">
        <v>1.799</v>
      </c>
      <c r="M107" s="2" t="s">
        <v>339</v>
      </c>
      <c r="O107" s="4"/>
      <c r="P107" s="4"/>
      <c r="Q107" s="4"/>
      <c r="R107" s="4"/>
    </row>
    <row r="108" spans="1:18">
      <c r="A108" s="2" t="s">
        <v>171</v>
      </c>
      <c r="B108" s="2" t="s">
        <v>340</v>
      </c>
      <c r="C108" s="2" t="s">
        <v>241</v>
      </c>
      <c r="D108" s="4"/>
      <c r="E108" s="6">
        <v>350</v>
      </c>
      <c r="F108" s="6"/>
      <c r="G108" s="6"/>
      <c r="H108" s="6"/>
      <c r="I108" s="17"/>
      <c r="J108" s="2">
        <v>6.801</v>
      </c>
      <c r="K108" s="2">
        <v>11.3</v>
      </c>
      <c r="L108" s="2">
        <v>1.399</v>
      </c>
      <c r="M108" s="2" t="s">
        <v>297</v>
      </c>
      <c r="O108" s="4"/>
      <c r="P108" s="4"/>
      <c r="Q108" s="4"/>
      <c r="R108" s="4"/>
    </row>
    <row r="109" spans="1:18">
      <c r="A109" s="2" t="s">
        <v>171</v>
      </c>
      <c r="B109" s="2" t="s">
        <v>341</v>
      </c>
      <c r="C109" s="2" t="s">
        <v>241</v>
      </c>
      <c r="D109" s="4"/>
      <c r="E109" s="6">
        <v>400</v>
      </c>
      <c r="F109" s="6"/>
      <c r="G109" s="6"/>
      <c r="H109" s="6"/>
      <c r="I109" s="17"/>
      <c r="J109" s="2">
        <v>8.7</v>
      </c>
      <c r="K109" s="2">
        <v>14.5</v>
      </c>
      <c r="L109" s="2">
        <v>1.7</v>
      </c>
      <c r="M109" s="2" t="s">
        <v>295</v>
      </c>
      <c r="O109" s="4"/>
      <c r="P109" s="4"/>
      <c r="Q109" s="4"/>
      <c r="R109" s="4"/>
    </row>
    <row r="110" spans="1:18">
      <c r="A110" s="2" t="s">
        <v>174</v>
      </c>
      <c r="B110" s="2" t="s">
        <v>22</v>
      </c>
      <c r="C110" s="2" t="s">
        <v>22</v>
      </c>
      <c r="D110" s="4"/>
      <c r="E110" s="6">
        <v>200</v>
      </c>
      <c r="F110" s="6"/>
      <c r="G110" s="6"/>
      <c r="H110" s="6"/>
      <c r="I110" s="17">
        <v>1.3</v>
      </c>
      <c r="J110" s="2">
        <v>6.7</v>
      </c>
      <c r="L110" s="2">
        <v>2.5</v>
      </c>
      <c r="O110" s="4"/>
      <c r="P110" s="4"/>
      <c r="Q110" s="4"/>
      <c r="R110" s="4"/>
    </row>
    <row r="111" spans="1:18">
      <c r="A111" s="2" t="s">
        <v>174</v>
      </c>
      <c r="B111" s="2" t="s">
        <v>13</v>
      </c>
      <c r="C111" s="2" t="s">
        <v>241</v>
      </c>
      <c r="D111" s="4"/>
      <c r="E111" s="6">
        <f>150+50</f>
        <v>200</v>
      </c>
      <c r="F111" s="6"/>
      <c r="G111" s="6"/>
      <c r="H111" s="6"/>
      <c r="I111" s="17"/>
      <c r="K111" s="2">
        <v>11</v>
      </c>
      <c r="O111" s="4"/>
      <c r="P111" s="4"/>
      <c r="Q111" s="4"/>
      <c r="R111" s="4"/>
    </row>
    <row r="112" spans="1:18">
      <c r="A112" s="2" t="s">
        <v>174</v>
      </c>
      <c r="B112" s="2" t="s">
        <v>342</v>
      </c>
      <c r="C112" s="2" t="s">
        <v>241</v>
      </c>
      <c r="D112" s="4" t="s">
        <v>248</v>
      </c>
      <c r="E112" s="6">
        <f>IF(配装!AR18,1.6,1)*55</f>
        <v>88</v>
      </c>
      <c r="F112" s="6"/>
      <c r="G112" s="6"/>
      <c r="H112" s="6"/>
      <c r="I112" s="17"/>
      <c r="J112" s="2">
        <v>1.814</v>
      </c>
      <c r="K112" s="2">
        <v>3.029</v>
      </c>
      <c r="L112" s="2">
        <v>0.364</v>
      </c>
      <c r="O112" s="4"/>
      <c r="P112" s="4"/>
      <c r="Q112" s="4"/>
      <c r="R112" s="4"/>
    </row>
    <row r="113" spans="1:18">
      <c r="A113" s="2" t="s">
        <v>174</v>
      </c>
      <c r="B113" s="2" t="s">
        <v>14</v>
      </c>
      <c r="C113" s="2" t="s">
        <v>246</v>
      </c>
      <c r="D113" s="4"/>
      <c r="E113" s="6">
        <v>500</v>
      </c>
      <c r="F113" s="6"/>
      <c r="G113" s="6"/>
      <c r="H113" s="6"/>
      <c r="I113" s="17"/>
      <c r="L113" s="2">
        <v>1.5</v>
      </c>
      <c r="O113" s="4"/>
      <c r="P113" s="4"/>
      <c r="Q113" s="4"/>
      <c r="R113" s="4"/>
    </row>
  </sheetData>
  <autoFilter xmlns:etc="http://www.wps.cn/officeDocument/2017/etCustomData" ref="A2:S113" etc:filterBottomFollowUsedRange="0">
    <extLst/>
  </autoFilter>
  <dataValidations count="2">
    <dataValidation type="list" showInputMessage="1" showErrorMessage="1" sqref="C3:C113">
      <formula1>中间!$A$2:$A$8</formula1>
    </dataValidation>
    <dataValidation type="list" showInputMessage="1" showErrorMessage="1" sqref="D3:D113">
      <formula1>中间!$S$2:$S$6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8"/>
  <sheetViews>
    <sheetView zoomScale="110" zoomScaleNormal="110" workbookViewId="0">
      <pane xSplit="1" ySplit="1" topLeftCell="B2" activePane="bottomRight" state="frozen"/>
      <selection/>
      <selection pane="topRight"/>
      <selection pane="bottomLeft"/>
      <selection pane="bottomRight" activeCell="K9" sqref="K9"/>
    </sheetView>
  </sheetViews>
  <sheetFormatPr defaultColWidth="9.23076923076923" defaultRowHeight="16.8"/>
  <cols>
    <col min="1" max="3" width="9.23076923076923" style="2"/>
    <col min="4" max="4" width="9.23076923076923" style="2" customWidth="1"/>
    <col min="5" max="5" width="9.23076923076923" style="2" hidden="1" customWidth="1"/>
    <col min="6" max="6" width="9.23076923076923" style="2" customWidth="1"/>
    <col min="7" max="7" width="9.23076923076923" style="2" hidden="1" customWidth="1"/>
    <col min="8" max="8" width="9.23076923076923" style="2" customWidth="1"/>
    <col min="9" max="9" width="9.23076923076923" style="2" hidden="1" customWidth="1"/>
    <col min="10" max="16384" width="9.23076923076923" style="2"/>
  </cols>
  <sheetData>
    <row r="1" s="2" customFormat="1" spans="1:34">
      <c r="A1" s="2">
        <f t="shared" ref="A1:AE1" si="0">COLUMN()</f>
        <v>1</v>
      </c>
      <c r="B1" s="2">
        <f t="shared" si="0"/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si="0"/>
        <v>29</v>
      </c>
      <c r="AD1" s="2">
        <f t="shared" si="0"/>
        <v>30</v>
      </c>
      <c r="AE1" s="2">
        <f t="shared" si="0"/>
        <v>31</v>
      </c>
      <c r="AF1" s="2">
        <f t="shared" ref="AF1:AP1" si="1">COLUMN()</f>
        <v>32</v>
      </c>
      <c r="AG1" s="2">
        <f t="shared" si="1"/>
        <v>33</v>
      </c>
      <c r="AH1" s="2">
        <f t="shared" si="1"/>
        <v>34</v>
      </c>
    </row>
    <row r="2" s="2" customFormat="1" spans="1:34">
      <c r="A2" s="2" t="s">
        <v>2</v>
      </c>
      <c r="B2" s="2" t="s">
        <v>79</v>
      </c>
      <c r="C2" s="2" t="s">
        <v>343</v>
      </c>
      <c r="D2" s="2" t="s">
        <v>132</v>
      </c>
      <c r="E2" s="2" t="s">
        <v>344</v>
      </c>
      <c r="F2" s="2" t="s">
        <v>146</v>
      </c>
      <c r="G2" s="2" t="s">
        <v>345</v>
      </c>
      <c r="H2" s="2" t="s">
        <v>161</v>
      </c>
      <c r="I2" s="2" t="s">
        <v>346</v>
      </c>
      <c r="J2" s="2" t="s">
        <v>135</v>
      </c>
      <c r="K2" s="2" t="s">
        <v>187</v>
      </c>
      <c r="L2" s="2" t="s">
        <v>180</v>
      </c>
      <c r="M2" s="2" t="s">
        <v>132</v>
      </c>
      <c r="N2" s="2" t="s">
        <v>181</v>
      </c>
      <c r="O2" s="2" t="s">
        <v>146</v>
      </c>
      <c r="P2" s="2" t="s">
        <v>182</v>
      </c>
      <c r="Q2" s="2" t="s">
        <v>161</v>
      </c>
      <c r="R2" s="2" t="s">
        <v>178</v>
      </c>
      <c r="S2" s="2" t="s">
        <v>179</v>
      </c>
      <c r="T2" s="2" t="s">
        <v>347</v>
      </c>
      <c r="U2" s="2" t="s">
        <v>131</v>
      </c>
      <c r="V2" s="2" t="s">
        <v>348</v>
      </c>
      <c r="W2" s="2" t="s">
        <v>349</v>
      </c>
      <c r="X2" s="2" t="s">
        <v>136</v>
      </c>
      <c r="Y2" s="2" t="s">
        <v>350</v>
      </c>
      <c r="Z2" s="2" t="s">
        <v>351</v>
      </c>
      <c r="AA2" s="2" t="s">
        <v>352</v>
      </c>
      <c r="AB2" s="2" t="s">
        <v>353</v>
      </c>
      <c r="AC2" s="2" t="s">
        <v>354</v>
      </c>
      <c r="AD2" s="2" t="s">
        <v>355</v>
      </c>
      <c r="AE2" s="2" t="s">
        <v>356</v>
      </c>
      <c r="AF2" s="2" t="s">
        <v>357</v>
      </c>
      <c r="AG2" s="2" t="s">
        <v>358</v>
      </c>
      <c r="AH2" s="2" t="s">
        <v>359</v>
      </c>
    </row>
    <row r="3" s="2" customFormat="1" spans="1:34">
      <c r="A3" s="2" t="s">
        <v>21</v>
      </c>
      <c r="B3" s="2" t="s">
        <v>138</v>
      </c>
      <c r="C3" s="2" t="s">
        <v>360</v>
      </c>
      <c r="D3" s="6">
        <f>E3*7.95</f>
        <v>675.75</v>
      </c>
      <c r="E3" s="6">
        <v>85</v>
      </c>
      <c r="F3" s="6">
        <f>G3*12.12</f>
        <v>15150</v>
      </c>
      <c r="G3" s="6">
        <v>1250</v>
      </c>
      <c r="H3" s="6">
        <f t="shared" ref="H3:H18" si="2">I3*12.12</f>
        <v>909</v>
      </c>
      <c r="I3" s="6">
        <v>75</v>
      </c>
      <c r="J3" s="3">
        <v>0.05</v>
      </c>
      <c r="K3" s="3">
        <v>0.5</v>
      </c>
      <c r="L3" s="3"/>
      <c r="N3" s="3"/>
      <c r="P3" s="3"/>
      <c r="R3" s="3"/>
      <c r="S3" s="3"/>
      <c r="T3" s="3"/>
      <c r="W3" s="3">
        <v>0.25</v>
      </c>
      <c r="X3" s="3"/>
      <c r="Y3" s="3"/>
      <c r="Z3" s="3"/>
      <c r="AA3" s="3">
        <f>25%+IF(配装!AU3,25%,0)</f>
        <v>0.5</v>
      </c>
      <c r="AB3" s="3"/>
      <c r="AC3" s="3"/>
      <c r="AD3" s="3"/>
      <c r="AE3" s="3"/>
      <c r="AF3" s="2">
        <v>100</v>
      </c>
      <c r="AG3" s="2">
        <v>16</v>
      </c>
      <c r="AH3" s="2">
        <v>15</v>
      </c>
    </row>
    <row r="4" s="2" customFormat="1" spans="1:34">
      <c r="A4" s="2" t="s">
        <v>133</v>
      </c>
      <c r="B4" s="2" t="s">
        <v>138</v>
      </c>
      <c r="C4" s="2" t="s">
        <v>360</v>
      </c>
      <c r="D4" s="6">
        <f t="shared" ref="D4:D18" si="3">E4*7.95</f>
        <v>636</v>
      </c>
      <c r="E4" s="6">
        <v>80</v>
      </c>
      <c r="F4" s="6">
        <f t="shared" ref="F4:F18" si="4">G4*12.12</f>
        <v>15998.4</v>
      </c>
      <c r="G4" s="6">
        <v>1320</v>
      </c>
      <c r="H4" s="6">
        <f t="shared" si="2"/>
        <v>909</v>
      </c>
      <c r="I4" s="6">
        <v>75</v>
      </c>
      <c r="J4" s="3">
        <v>0.05</v>
      </c>
      <c r="K4" s="3">
        <v>0.5</v>
      </c>
      <c r="L4" s="3"/>
      <c r="N4" s="3"/>
      <c r="P4" s="3"/>
      <c r="R4" s="3"/>
      <c r="S4" s="3"/>
      <c r="T4" s="3"/>
      <c r="W4" s="3"/>
      <c r="X4" s="3"/>
      <c r="Y4" s="3"/>
      <c r="Z4" s="3"/>
      <c r="AA4" s="3"/>
      <c r="AB4" s="3"/>
      <c r="AC4" s="3"/>
      <c r="AD4" s="3"/>
      <c r="AE4" s="3"/>
      <c r="AF4" s="2">
        <v>0</v>
      </c>
      <c r="AG4" s="2">
        <v>10</v>
      </c>
      <c r="AH4" s="16">
        <v>20</v>
      </c>
    </row>
    <row r="5" s="2" customFormat="1" spans="1:34">
      <c r="A5" s="2" t="s">
        <v>137</v>
      </c>
      <c r="B5" s="2" t="s">
        <v>138</v>
      </c>
      <c r="C5" s="2" t="s">
        <v>360</v>
      </c>
      <c r="D5" s="6">
        <f t="shared" si="3"/>
        <v>659.85</v>
      </c>
      <c r="E5" s="6">
        <v>83</v>
      </c>
      <c r="F5" s="6">
        <f t="shared" si="4"/>
        <v>15513.6</v>
      </c>
      <c r="G5" s="6">
        <v>1280</v>
      </c>
      <c r="H5" s="6">
        <f t="shared" si="2"/>
        <v>909</v>
      </c>
      <c r="I5" s="6">
        <v>75</v>
      </c>
      <c r="J5" s="3">
        <v>0.05</v>
      </c>
      <c r="K5" s="3">
        <v>0.5</v>
      </c>
      <c r="L5" s="3"/>
      <c r="N5" s="3"/>
      <c r="P5" s="3"/>
      <c r="R5" s="3"/>
      <c r="S5" s="3">
        <f>IF(配装!AZ5,10%,0)</f>
        <v>0</v>
      </c>
      <c r="T5" s="3"/>
      <c r="W5" s="3"/>
      <c r="X5" s="3">
        <f>IF(配装!AW5,20%,0)</f>
        <v>0.2</v>
      </c>
      <c r="Y5" s="3"/>
      <c r="Z5" s="3"/>
      <c r="AA5" s="3"/>
      <c r="AB5" s="3"/>
      <c r="AC5" s="3"/>
      <c r="AD5" s="3"/>
      <c r="AE5" s="3"/>
      <c r="AF5" s="2">
        <v>100</v>
      </c>
      <c r="AG5" s="2">
        <v>3</v>
      </c>
      <c r="AH5" s="2">
        <v>15</v>
      </c>
    </row>
    <row r="6" s="2" customFormat="1" spans="1:34">
      <c r="A6" s="2" t="s">
        <v>141</v>
      </c>
      <c r="B6" s="2" t="s">
        <v>138</v>
      </c>
      <c r="C6" s="2" t="s">
        <v>361</v>
      </c>
      <c r="D6" s="6">
        <f t="shared" si="3"/>
        <v>421.35</v>
      </c>
      <c r="E6" s="6">
        <v>53</v>
      </c>
      <c r="F6" s="6">
        <f t="shared" si="4"/>
        <v>16362</v>
      </c>
      <c r="G6" s="6">
        <v>1350</v>
      </c>
      <c r="H6" s="6">
        <f t="shared" si="2"/>
        <v>824.16</v>
      </c>
      <c r="I6" s="6">
        <v>68</v>
      </c>
      <c r="J6" s="3">
        <v>0.05</v>
      </c>
      <c r="K6" s="3">
        <v>0.5</v>
      </c>
      <c r="L6" s="3"/>
      <c r="N6" s="3"/>
      <c r="P6" s="3"/>
      <c r="R6" s="3"/>
      <c r="S6" s="3"/>
      <c r="T6" s="3"/>
      <c r="W6" s="3"/>
      <c r="X6" s="3"/>
      <c r="Y6" s="3"/>
      <c r="Z6" s="3"/>
      <c r="AA6" s="3"/>
      <c r="AB6" s="3"/>
      <c r="AC6" s="3"/>
      <c r="AD6" s="3"/>
      <c r="AE6" s="3"/>
      <c r="AF6" s="2">
        <v>100</v>
      </c>
      <c r="AG6" s="2">
        <v>16</v>
      </c>
      <c r="AH6" s="2">
        <v>20</v>
      </c>
    </row>
    <row r="7" s="2" customFormat="1" spans="1:34">
      <c r="A7" s="2" t="s">
        <v>12</v>
      </c>
      <c r="B7" s="2" t="s">
        <v>236</v>
      </c>
      <c r="C7" s="2" t="s">
        <v>360</v>
      </c>
      <c r="D7" s="6">
        <f t="shared" si="3"/>
        <v>636</v>
      </c>
      <c r="E7" s="6">
        <v>80</v>
      </c>
      <c r="F7" s="6">
        <f t="shared" si="4"/>
        <v>15998.4</v>
      </c>
      <c r="G7" s="6">
        <v>1320</v>
      </c>
      <c r="H7" s="6">
        <f t="shared" si="2"/>
        <v>909</v>
      </c>
      <c r="I7" s="6">
        <v>75</v>
      </c>
      <c r="J7" s="3">
        <v>0.05</v>
      </c>
      <c r="K7" s="3">
        <v>0.5</v>
      </c>
      <c r="L7" s="3">
        <f>IF(配装!AV7,20%,0)</f>
        <v>0</v>
      </c>
      <c r="N7" s="3"/>
      <c r="P7" s="3"/>
      <c r="R7" s="3"/>
      <c r="S7" s="3"/>
      <c r="T7" s="3"/>
      <c r="W7" s="3">
        <f>IF(配装!AZ7,10%,0)</f>
        <v>0</v>
      </c>
      <c r="X7" s="3"/>
      <c r="Y7" s="3"/>
      <c r="Z7" s="3"/>
      <c r="AA7" s="3"/>
      <c r="AB7" s="3"/>
      <c r="AC7" s="3"/>
      <c r="AD7" s="3"/>
      <c r="AE7" s="3"/>
      <c r="AF7" s="2">
        <v>100</v>
      </c>
      <c r="AG7" s="2">
        <v>16</v>
      </c>
      <c r="AH7" s="2">
        <v>15</v>
      </c>
    </row>
    <row r="8" s="2" customFormat="1" spans="1:34">
      <c r="A8" s="2" t="s">
        <v>26</v>
      </c>
      <c r="B8" s="2" t="s">
        <v>236</v>
      </c>
      <c r="C8" s="2" t="s">
        <v>360</v>
      </c>
      <c r="D8" s="6">
        <f t="shared" si="3"/>
        <v>651.9</v>
      </c>
      <c r="E8" s="6">
        <v>82</v>
      </c>
      <c r="F8" s="6">
        <f t="shared" si="4"/>
        <v>15634.8</v>
      </c>
      <c r="G8" s="6">
        <v>1290</v>
      </c>
      <c r="H8" s="6">
        <f t="shared" si="2"/>
        <v>909</v>
      </c>
      <c r="I8" s="6">
        <v>75</v>
      </c>
      <c r="J8" s="3">
        <v>0.05</v>
      </c>
      <c r="K8" s="3">
        <v>0.5</v>
      </c>
      <c r="L8" s="3"/>
      <c r="N8" s="3"/>
      <c r="P8" s="3"/>
      <c r="R8" s="3"/>
      <c r="S8" s="3"/>
      <c r="T8" s="3"/>
      <c r="W8" s="3"/>
      <c r="X8" s="3"/>
      <c r="Y8" s="3"/>
      <c r="Z8" s="3"/>
      <c r="AA8" s="3"/>
      <c r="AB8" s="3"/>
      <c r="AC8" s="3"/>
      <c r="AD8" s="3"/>
      <c r="AE8" s="3"/>
      <c r="AF8" s="2">
        <v>100</v>
      </c>
      <c r="AG8" s="2">
        <v>16</v>
      </c>
      <c r="AH8" s="2">
        <v>15</v>
      </c>
    </row>
    <row r="9" s="2" customFormat="1" spans="1:34">
      <c r="A9" s="2" t="s">
        <v>151</v>
      </c>
      <c r="B9" s="2" t="s">
        <v>236</v>
      </c>
      <c r="C9" s="2" t="s">
        <v>361</v>
      </c>
      <c r="D9" s="6">
        <f t="shared" si="3"/>
        <v>596.25</v>
      </c>
      <c r="E9" s="6">
        <v>75</v>
      </c>
      <c r="F9" s="6">
        <f t="shared" si="4"/>
        <v>12120</v>
      </c>
      <c r="G9" s="6">
        <v>1000</v>
      </c>
      <c r="H9" s="6">
        <f t="shared" si="2"/>
        <v>727.2</v>
      </c>
      <c r="I9" s="6">
        <v>60</v>
      </c>
      <c r="J9" s="3">
        <f>5%+IF(配装!$AU$9,IF(中间!$N$2,12%,0),0)</f>
        <v>0.17</v>
      </c>
      <c r="K9" s="3">
        <f>50%+IF(配装!$AV$9,25%,0)</f>
        <v>0.75</v>
      </c>
      <c r="L9" s="3"/>
      <c r="N9" s="3"/>
      <c r="P9" s="3">
        <v>0.2</v>
      </c>
      <c r="R9" s="3"/>
      <c r="S9" s="3"/>
      <c r="T9" s="3"/>
      <c r="W9" s="3"/>
      <c r="X9" s="3"/>
      <c r="Y9" s="3"/>
      <c r="Z9" s="3">
        <f>IF(配装!$AS$9,40%,0)</f>
        <v>0.4</v>
      </c>
      <c r="AA9" s="3"/>
      <c r="AB9" s="3"/>
      <c r="AC9" s="3"/>
      <c r="AD9" s="3"/>
      <c r="AE9" s="3"/>
      <c r="AF9" s="2">
        <v>100</v>
      </c>
      <c r="AG9" s="2">
        <v>6</v>
      </c>
      <c r="AH9" s="2">
        <v>15</v>
      </c>
    </row>
    <row r="10" s="2" customFormat="1" spans="1:34">
      <c r="A10" s="2" t="s">
        <v>153</v>
      </c>
      <c r="B10" s="2" t="s">
        <v>237</v>
      </c>
      <c r="C10" s="2" t="s">
        <v>360</v>
      </c>
      <c r="D10" s="6">
        <f t="shared" si="3"/>
        <v>643.95</v>
      </c>
      <c r="E10" s="6">
        <v>81</v>
      </c>
      <c r="F10" s="6">
        <f t="shared" si="4"/>
        <v>16604.4</v>
      </c>
      <c r="G10" s="6">
        <v>1370</v>
      </c>
      <c r="H10" s="6">
        <f t="shared" si="2"/>
        <v>799.92</v>
      </c>
      <c r="I10" s="6">
        <v>66</v>
      </c>
      <c r="J10" s="3">
        <v>0.05</v>
      </c>
      <c r="K10" s="3">
        <v>0.5</v>
      </c>
      <c r="L10" s="3"/>
      <c r="N10" s="3"/>
      <c r="P10" s="3"/>
      <c r="R10" s="3"/>
      <c r="S10" s="3"/>
      <c r="T10" s="3"/>
      <c r="W10" s="3"/>
      <c r="X10" s="3"/>
      <c r="Y10" s="3"/>
      <c r="Z10" s="3"/>
      <c r="AA10" s="3"/>
      <c r="AB10" s="3"/>
      <c r="AC10" s="3"/>
      <c r="AD10" s="3"/>
      <c r="AE10" s="3"/>
      <c r="AF10" s="2">
        <v>120</v>
      </c>
      <c r="AG10" s="2" t="s">
        <v>362</v>
      </c>
      <c r="AH10" s="2">
        <v>20</v>
      </c>
    </row>
    <row r="11" s="2" customFormat="1" spans="1:34">
      <c r="A11" s="2" t="s">
        <v>157</v>
      </c>
      <c r="B11" s="2" t="s">
        <v>237</v>
      </c>
      <c r="C11" s="2" t="s">
        <v>360</v>
      </c>
      <c r="D11" s="6">
        <f t="shared" si="3"/>
        <v>620.1</v>
      </c>
      <c r="E11" s="6">
        <v>78</v>
      </c>
      <c r="F11" s="6">
        <f t="shared" si="4"/>
        <v>16483.2</v>
      </c>
      <c r="G11" s="6">
        <v>1360</v>
      </c>
      <c r="H11" s="6">
        <f t="shared" si="2"/>
        <v>909</v>
      </c>
      <c r="I11" s="6">
        <v>75</v>
      </c>
      <c r="J11" s="3">
        <v>0.05</v>
      </c>
      <c r="K11" s="3">
        <v>0.5</v>
      </c>
      <c r="L11" s="3"/>
      <c r="N11" s="3"/>
      <c r="P11" s="3"/>
      <c r="R11" s="3"/>
      <c r="S11" s="3"/>
      <c r="T11" s="3"/>
      <c r="W11" s="3">
        <f>IF(配装!AZ11,云配队!H13*3%,0)</f>
        <v>0</v>
      </c>
      <c r="X11" s="3"/>
      <c r="Y11" s="3"/>
      <c r="Z11" s="3"/>
      <c r="AA11" s="3"/>
      <c r="AB11" s="3"/>
      <c r="AC11" s="3"/>
      <c r="AD11" s="3"/>
      <c r="AE11" s="3"/>
      <c r="AF11" s="2">
        <v>120</v>
      </c>
      <c r="AG11" s="2">
        <v>16</v>
      </c>
      <c r="AH11" s="2">
        <v>20</v>
      </c>
    </row>
    <row r="12" s="2" customFormat="1" spans="1:34">
      <c r="A12" s="2" t="s">
        <v>23</v>
      </c>
      <c r="B12" s="2" t="s">
        <v>237</v>
      </c>
      <c r="C12" s="2" t="s">
        <v>361</v>
      </c>
      <c r="D12" s="6">
        <f t="shared" si="3"/>
        <v>437.25</v>
      </c>
      <c r="E12" s="6">
        <v>55</v>
      </c>
      <c r="F12" s="6">
        <f t="shared" si="4"/>
        <v>14301.6</v>
      </c>
      <c r="G12" s="6">
        <v>1180</v>
      </c>
      <c r="H12" s="6">
        <f t="shared" si="2"/>
        <v>993.84</v>
      </c>
      <c r="I12" s="6">
        <v>82</v>
      </c>
      <c r="J12" s="3">
        <v>0.05</v>
      </c>
      <c r="K12" s="3">
        <v>0.5</v>
      </c>
      <c r="L12" s="3"/>
      <c r="N12" s="3"/>
      <c r="P12" s="3"/>
      <c r="R12" s="3"/>
      <c r="S12" s="3"/>
      <c r="T12" s="3"/>
      <c r="W12" s="3"/>
      <c r="X12" s="3"/>
      <c r="Y12" s="3"/>
      <c r="Z12" s="3"/>
      <c r="AA12" s="3"/>
      <c r="AB12" s="3"/>
      <c r="AC12" s="3"/>
      <c r="AD12" s="3"/>
      <c r="AE12" s="3"/>
      <c r="AF12" s="2">
        <v>120</v>
      </c>
      <c r="AG12" s="2">
        <v>16</v>
      </c>
      <c r="AH12" s="2">
        <v>20</v>
      </c>
    </row>
    <row r="13" s="2" customFormat="1" spans="1:34">
      <c r="A13" s="2" t="s">
        <v>162</v>
      </c>
      <c r="B13" s="2" t="s">
        <v>238</v>
      </c>
      <c r="C13" s="2" t="s">
        <v>360</v>
      </c>
      <c r="D13" s="6">
        <f t="shared" si="3"/>
        <v>636</v>
      </c>
      <c r="E13" s="6">
        <v>80</v>
      </c>
      <c r="F13" s="6">
        <f t="shared" si="4"/>
        <v>15998.4</v>
      </c>
      <c r="G13" s="6">
        <v>1320</v>
      </c>
      <c r="H13" s="6">
        <f t="shared" si="2"/>
        <v>909</v>
      </c>
      <c r="I13" s="6">
        <v>75</v>
      </c>
      <c r="J13" s="3">
        <v>0.05</v>
      </c>
      <c r="K13" s="3">
        <v>0.5</v>
      </c>
      <c r="L13" s="3"/>
      <c r="M13" s="2">
        <v>200</v>
      </c>
      <c r="N13" s="3"/>
      <c r="P13" s="3"/>
      <c r="R13" s="3">
        <f>IF(配装!AZ13,10%,0)</f>
        <v>0</v>
      </c>
      <c r="S13" s="3"/>
      <c r="T13" s="3"/>
      <c r="W13" s="3">
        <f>IF(配装!AS13,15%,0)</f>
        <v>0</v>
      </c>
      <c r="X13" s="3"/>
      <c r="Y13" s="3"/>
      <c r="Z13" s="3"/>
      <c r="AA13" s="3"/>
      <c r="AB13" s="3"/>
      <c r="AC13" s="3"/>
      <c r="AD13" s="3"/>
      <c r="AE13" s="3"/>
      <c r="AF13" s="2">
        <v>120</v>
      </c>
      <c r="AG13" s="2">
        <v>16</v>
      </c>
      <c r="AH13" s="2">
        <v>15</v>
      </c>
    </row>
    <row r="14" customFormat="1" spans="1:34">
      <c r="A14" s="2" t="s">
        <v>165</v>
      </c>
      <c r="B14" s="2" t="s">
        <v>238</v>
      </c>
      <c r="C14" s="2" t="s">
        <v>360</v>
      </c>
      <c r="D14" s="6">
        <f t="shared" si="3"/>
        <v>643.95</v>
      </c>
      <c r="E14" s="6">
        <v>81</v>
      </c>
      <c r="F14" s="6">
        <f t="shared" si="4"/>
        <v>16180.2</v>
      </c>
      <c r="G14" s="6">
        <v>1335</v>
      </c>
      <c r="H14" s="6">
        <f t="shared" si="2"/>
        <v>872.64</v>
      </c>
      <c r="I14" s="6">
        <v>72</v>
      </c>
      <c r="J14" s="3">
        <v>0.05</v>
      </c>
      <c r="K14" s="3">
        <v>0.5</v>
      </c>
      <c r="L14" s="3"/>
      <c r="N14" s="3"/>
      <c r="P14" s="3"/>
      <c r="R14" s="3"/>
      <c r="S14" s="3"/>
      <c r="T14" s="3"/>
      <c r="W14" s="3"/>
      <c r="X14" s="3"/>
      <c r="Y14" s="3"/>
      <c r="Z14" s="3"/>
      <c r="AA14" s="3"/>
      <c r="AB14" s="3"/>
      <c r="AC14" s="3"/>
      <c r="AD14" s="3"/>
      <c r="AE14" s="3"/>
      <c r="AF14" s="2">
        <v>120</v>
      </c>
      <c r="AG14" s="2">
        <v>16</v>
      </c>
      <c r="AH14" s="16">
        <v>20</v>
      </c>
    </row>
    <row r="15" spans="1:34">
      <c r="A15" s="2" t="s">
        <v>167</v>
      </c>
      <c r="B15" s="2" t="s">
        <v>239</v>
      </c>
      <c r="C15" s="2" t="s">
        <v>360</v>
      </c>
      <c r="D15" s="6">
        <f t="shared" si="3"/>
        <v>596.25</v>
      </c>
      <c r="E15" s="6">
        <v>75</v>
      </c>
      <c r="F15" s="6">
        <f t="shared" si="4"/>
        <v>17089.2</v>
      </c>
      <c r="G15" s="6">
        <v>1410</v>
      </c>
      <c r="H15" s="6">
        <f t="shared" si="2"/>
        <v>909</v>
      </c>
      <c r="I15" s="6">
        <v>75</v>
      </c>
      <c r="J15" s="3">
        <v>0.05</v>
      </c>
      <c r="K15" s="3">
        <v>0.5</v>
      </c>
      <c r="L15" s="3"/>
      <c r="N15" s="3"/>
      <c r="P15" s="3"/>
      <c r="R15" s="3"/>
      <c r="S15" s="3"/>
      <c r="T15" s="3"/>
      <c r="W15" s="3"/>
      <c r="X15" s="3"/>
      <c r="Y15" s="3"/>
      <c r="Z15" s="3"/>
      <c r="AA15" s="3"/>
      <c r="AB15" s="3"/>
      <c r="AC15" s="3"/>
      <c r="AD15" s="3"/>
      <c r="AE15" s="3"/>
      <c r="AF15" s="2">
        <v>120</v>
      </c>
      <c r="AG15" s="2">
        <v>16</v>
      </c>
      <c r="AH15" s="16">
        <v>20</v>
      </c>
    </row>
    <row r="16" spans="1:34">
      <c r="A16" s="2" t="s">
        <v>169</v>
      </c>
      <c r="B16" s="2" t="s">
        <v>239</v>
      </c>
      <c r="C16" s="2" t="s">
        <v>361</v>
      </c>
      <c r="D16" s="6">
        <f t="shared" si="3"/>
        <v>492.9</v>
      </c>
      <c r="E16" s="6">
        <v>62</v>
      </c>
      <c r="F16" s="6">
        <f t="shared" si="4"/>
        <v>13695.6</v>
      </c>
      <c r="G16" s="6">
        <v>1130</v>
      </c>
      <c r="H16" s="6">
        <f t="shared" si="2"/>
        <v>848.4</v>
      </c>
      <c r="I16" s="6">
        <v>70</v>
      </c>
      <c r="J16" s="3">
        <v>0.05</v>
      </c>
      <c r="K16" s="3">
        <v>0.5</v>
      </c>
      <c r="L16" s="3"/>
      <c r="N16" s="3"/>
      <c r="P16" s="3"/>
      <c r="R16" s="3"/>
      <c r="S16" s="3"/>
      <c r="T16" s="3"/>
      <c r="W16" s="3"/>
      <c r="X16" s="3"/>
      <c r="Y16" s="3"/>
      <c r="Z16" s="3"/>
      <c r="AA16" s="3"/>
      <c r="AB16" s="3"/>
      <c r="AC16" s="3"/>
      <c r="AD16" s="3"/>
      <c r="AE16" s="3"/>
      <c r="AF16" s="2">
        <v>120</v>
      </c>
      <c r="AG16" s="2">
        <f>IF(配装!AW16,16,20)</f>
        <v>16</v>
      </c>
      <c r="AH16" s="2">
        <v>20</v>
      </c>
    </row>
    <row r="17" spans="1:34">
      <c r="A17" s="2" t="s">
        <v>171</v>
      </c>
      <c r="B17" s="2" t="s">
        <v>240</v>
      </c>
      <c r="C17" s="2" t="s">
        <v>360</v>
      </c>
      <c r="D17" s="6">
        <f t="shared" si="3"/>
        <v>643.95</v>
      </c>
      <c r="E17" s="6">
        <v>81</v>
      </c>
      <c r="F17" s="6">
        <f t="shared" si="4"/>
        <v>15998.4</v>
      </c>
      <c r="G17" s="6">
        <v>1320</v>
      </c>
      <c r="H17" s="6">
        <f t="shared" si="2"/>
        <v>884.76</v>
      </c>
      <c r="I17" s="6">
        <v>73</v>
      </c>
      <c r="J17" s="3">
        <v>0.05</v>
      </c>
      <c r="K17" s="3">
        <v>0.5</v>
      </c>
      <c r="L17" s="3"/>
      <c r="N17" s="3"/>
      <c r="P17" s="3"/>
      <c r="R17" s="3"/>
      <c r="S17" s="3"/>
      <c r="T17" s="3"/>
      <c r="W17" s="3"/>
      <c r="X17" s="3"/>
      <c r="Y17" s="3"/>
      <c r="Z17" s="3"/>
      <c r="AA17" s="3"/>
      <c r="AB17" s="3"/>
      <c r="AC17" s="3"/>
      <c r="AD17" s="3"/>
      <c r="AE17" s="3"/>
      <c r="AF17" s="2">
        <v>100</v>
      </c>
      <c r="AG17" s="2">
        <v>16</v>
      </c>
      <c r="AH17" s="2">
        <v>15</v>
      </c>
    </row>
    <row r="18" spans="1:34">
      <c r="A18" s="2" t="s">
        <v>174</v>
      </c>
      <c r="B18" s="2" t="s">
        <v>240</v>
      </c>
      <c r="C18" s="2" t="s">
        <v>361</v>
      </c>
      <c r="D18" s="6">
        <f t="shared" si="3"/>
        <v>556.5</v>
      </c>
      <c r="E18" s="6">
        <v>70</v>
      </c>
      <c r="F18" s="6">
        <f t="shared" si="4"/>
        <v>13332</v>
      </c>
      <c r="G18" s="6">
        <v>1100</v>
      </c>
      <c r="H18" s="6">
        <f t="shared" si="2"/>
        <v>666.6</v>
      </c>
      <c r="I18" s="6">
        <v>55</v>
      </c>
      <c r="J18" s="3">
        <f>5%+IF(配装!AS18,10%,0)</f>
        <v>0.15</v>
      </c>
      <c r="K18" s="3">
        <v>0.5</v>
      </c>
      <c r="L18" s="3"/>
      <c r="N18" s="3"/>
      <c r="P18" s="3"/>
      <c r="R18" s="3"/>
      <c r="S18" s="3"/>
      <c r="T18" s="3"/>
      <c r="W18" s="3">
        <f>IF(配装!AT18,8%,0)</f>
        <v>0.08</v>
      </c>
      <c r="X18" s="3"/>
      <c r="Y18" s="3"/>
      <c r="Z18" s="3"/>
      <c r="AA18" s="3"/>
      <c r="AB18" s="3"/>
      <c r="AC18" s="3"/>
      <c r="AD18" s="3"/>
      <c r="AE18" s="3"/>
      <c r="AF18" s="2">
        <v>100</v>
      </c>
      <c r="AG18" s="2">
        <v>15</v>
      </c>
      <c r="AH18" s="2">
        <v>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zoomScale="110" zoomScaleNormal="110" workbookViewId="0">
      <selection activeCell="E11" sqref="E11"/>
    </sheetView>
  </sheetViews>
  <sheetFormatPr defaultColWidth="9.23076923076923" defaultRowHeight="16.8"/>
  <cols>
    <col min="1" max="16384" width="9.23076923076923" style="15"/>
  </cols>
  <sheetData>
    <row r="1" s="15" customFormat="1" spans="1:9">
      <c r="A1" s="2">
        <f t="shared" ref="A1:I1" si="0">COLUMN()</f>
        <v>1</v>
      </c>
      <c r="B1" s="2">
        <f t="shared" si="0"/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</row>
    <row r="2" s="15" customFormat="1" spans="1:9">
      <c r="A2" s="2" t="s">
        <v>2</v>
      </c>
      <c r="B2" s="2" t="s">
        <v>363</v>
      </c>
      <c r="C2" s="2" t="s">
        <v>364</v>
      </c>
      <c r="D2" s="2" t="s">
        <v>365</v>
      </c>
      <c r="E2" s="2" t="s">
        <v>366</v>
      </c>
      <c r="F2" s="2"/>
      <c r="G2" s="2"/>
      <c r="H2" s="2"/>
      <c r="I2" s="2"/>
    </row>
    <row r="3" s="15" customFormat="1" spans="1:9">
      <c r="A3" s="2" t="s">
        <v>21</v>
      </c>
      <c r="B3" s="5" t="b">
        <f>ISNUMBER(MATCH(A3,云配队!$F$4:$F$7,0))</f>
        <v>1</v>
      </c>
      <c r="C3" s="3"/>
      <c r="D3" s="3"/>
      <c r="E3" s="3"/>
      <c r="F3" s="3"/>
      <c r="G3" s="3"/>
      <c r="H3" s="3"/>
      <c r="I3" s="3"/>
    </row>
    <row r="4" s="15" customFormat="1" spans="1:9">
      <c r="A4" s="2" t="s">
        <v>133</v>
      </c>
      <c r="B4" s="5" t="b">
        <f>ISNUMBER(MATCH(A4,云配队!$F$4:$F$7,0))</f>
        <v>0</v>
      </c>
      <c r="C4" s="3"/>
      <c r="D4" s="3"/>
      <c r="E4" s="3"/>
      <c r="F4" s="3"/>
      <c r="G4" s="3"/>
      <c r="H4" s="3"/>
      <c r="I4" s="3"/>
    </row>
    <row r="5" s="15" customFormat="1" spans="1:9">
      <c r="A5" s="2" t="s">
        <v>137</v>
      </c>
      <c r="B5" s="5" t="b">
        <f>ISNUMBER(MATCH(A5,云配队!$F$4:$F$7,0))</f>
        <v>0</v>
      </c>
      <c r="E5" s="3"/>
      <c r="F5" s="3"/>
      <c r="G5" s="3"/>
      <c r="H5" s="3"/>
      <c r="I5" s="3"/>
    </row>
    <row r="6" s="15" customFormat="1" spans="1:9">
      <c r="A6" s="2" t="s">
        <v>141</v>
      </c>
      <c r="B6" s="5" t="b">
        <f>ISNUMBER(MATCH(A6,云配队!$F$4:$F$7,0))</f>
        <v>0</v>
      </c>
      <c r="C6" s="3"/>
      <c r="E6" s="3"/>
      <c r="F6" s="3"/>
      <c r="G6" s="3"/>
      <c r="H6" s="3"/>
      <c r="I6" s="3"/>
    </row>
    <row r="7" s="15" customFormat="1" spans="1:9">
      <c r="A7" s="2" t="s">
        <v>12</v>
      </c>
      <c r="B7" s="5" t="b">
        <f>ISNUMBER(MATCH(A7,云配队!$F$4:$F$7,0))</f>
        <v>1</v>
      </c>
      <c r="D7" s="3">
        <v>1</v>
      </c>
      <c r="E7" s="3"/>
      <c r="F7" s="3"/>
      <c r="G7" s="3"/>
      <c r="H7" s="3"/>
      <c r="I7" s="3"/>
    </row>
    <row r="8" s="15" customFormat="1" spans="1:9">
      <c r="A8" s="2" t="s">
        <v>26</v>
      </c>
      <c r="B8" s="5" t="b">
        <f>ISNUMBER(MATCH(A8,云配队!$F$4:$F$7,0))</f>
        <v>1</v>
      </c>
      <c r="C8" s="3">
        <v>1</v>
      </c>
      <c r="D8" s="3"/>
      <c r="E8" s="3"/>
      <c r="F8" s="3"/>
      <c r="G8" s="3"/>
      <c r="H8" s="3"/>
      <c r="I8" s="3"/>
    </row>
    <row r="9" s="15" customFormat="1" spans="1:9">
      <c r="A9" s="2" t="s">
        <v>151</v>
      </c>
      <c r="B9" s="5" t="b">
        <f>ISNUMBER(MATCH(A9,云配队!$F$4:$F$7,0))</f>
        <v>0</v>
      </c>
      <c r="C9" s="3"/>
      <c r="D9" s="3"/>
      <c r="E9" s="3"/>
      <c r="F9" s="3"/>
      <c r="G9" s="3"/>
      <c r="H9" s="3"/>
      <c r="I9" s="3"/>
    </row>
    <row r="10" s="15" customFormat="1" spans="1:9">
      <c r="A10" s="2" t="s">
        <v>153</v>
      </c>
      <c r="B10" s="5" t="b">
        <f>ISNUMBER(MATCH(A10,云配队!$F$4:$F$7,0))</f>
        <v>0</v>
      </c>
      <c r="C10" s="3"/>
      <c r="D10" s="3"/>
      <c r="E10" s="3"/>
      <c r="F10" s="3"/>
      <c r="G10" s="3"/>
      <c r="H10" s="3"/>
      <c r="I10" s="3"/>
    </row>
    <row r="11" s="15" customFormat="1" spans="1:9">
      <c r="A11" s="2" t="s">
        <v>157</v>
      </c>
      <c r="B11" s="5" t="b">
        <f>ISNUMBER(MATCH(A11,云配队!$F$4:$F$7,0))</f>
        <v>0</v>
      </c>
      <c r="C11" s="3"/>
      <c r="D11" s="3"/>
      <c r="E11" s="3">
        <f>25%*云配队!H13</f>
        <v>0</v>
      </c>
      <c r="F11" s="3"/>
      <c r="G11" s="3"/>
      <c r="H11" s="3"/>
      <c r="I11" s="3"/>
    </row>
    <row r="12" spans="1:9">
      <c r="A12" s="2" t="s">
        <v>23</v>
      </c>
      <c r="B12" s="5" t="b">
        <f>ISNUMBER(MATCH(A12,云配队!$F$4:$F$7,0))</f>
        <v>1</v>
      </c>
      <c r="C12" s="3"/>
      <c r="D12" s="3"/>
      <c r="E12" s="3"/>
      <c r="F12" s="3"/>
      <c r="G12" s="3"/>
      <c r="H12" s="3"/>
      <c r="I12" s="3"/>
    </row>
    <row r="13" spans="1:9">
      <c r="A13" s="2" t="s">
        <v>162</v>
      </c>
      <c r="B13" s="5" t="b">
        <f>ISNUMBER(MATCH(A13,云配队!$F$4:$F$7,0))</f>
        <v>0</v>
      </c>
      <c r="C13" s="3"/>
      <c r="D13" s="3"/>
      <c r="E13" s="3"/>
      <c r="F13" s="3"/>
      <c r="G13" s="3"/>
      <c r="H13" s="3"/>
      <c r="I13" s="3"/>
    </row>
    <row r="14" spans="1:9">
      <c r="A14" s="2" t="s">
        <v>165</v>
      </c>
      <c r="B14" s="5" t="b">
        <f>ISNUMBER(MATCH(A14,云配队!$F$4:$F$7,0))</f>
        <v>0</v>
      </c>
      <c r="C14" s="3"/>
      <c r="D14" s="3"/>
      <c r="E14" s="3"/>
      <c r="F14" s="3"/>
      <c r="G14" s="3"/>
      <c r="H14" s="3"/>
      <c r="I14" s="3"/>
    </row>
    <row r="15" spans="1:9">
      <c r="A15" s="2" t="s">
        <v>167</v>
      </c>
      <c r="B15" s="5" t="b">
        <f>ISNUMBER(MATCH(A15,云配队!$F$4:$F$7,0))</f>
        <v>0</v>
      </c>
    </row>
    <row r="16" spans="1:9">
      <c r="A16" s="2" t="s">
        <v>169</v>
      </c>
      <c r="B16" s="5" t="b">
        <f>ISNUMBER(MATCH(A16,云配队!$F$4:$F$7,0))</f>
        <v>0</v>
      </c>
    </row>
    <row r="17" spans="1:7">
      <c r="A17" s="2" t="s">
        <v>171</v>
      </c>
      <c r="B17" s="5" t="b">
        <f>ISNUMBER(MATCH(A17,云配队!$F$4:$F$7,0))</f>
        <v>0</v>
      </c>
      <c r="C17"/>
      <c r="D17"/>
      <c r="E17"/>
      <c r="F17"/>
      <c r="G17"/>
    </row>
    <row r="18" spans="1:7">
      <c r="A18" s="2" t="s">
        <v>174</v>
      </c>
      <c r="B18" s="5" t="b">
        <f>ISNUMBER(MATCH(A18,云配队!$F$4:$F$7,0))</f>
        <v>0</v>
      </c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  <row r="20" spans="1:7">
      <c r="A20"/>
      <c r="B20"/>
      <c r="C20"/>
      <c r="D20"/>
      <c r="E20"/>
      <c r="F20"/>
      <c r="G20"/>
    </row>
    <row r="21" spans="1:7">
      <c r="A21"/>
      <c r="B21"/>
      <c r="C21"/>
      <c r="D21"/>
      <c r="E21"/>
      <c r="F21"/>
      <c r="G21"/>
    </row>
    <row r="22" spans="1:7">
      <c r="A22"/>
      <c r="B22"/>
      <c r="C22"/>
      <c r="D22"/>
      <c r="E22"/>
      <c r="F22"/>
      <c r="G22"/>
    </row>
    <row r="23" spans="1:7">
      <c r="A23"/>
      <c r="B23"/>
      <c r="C23"/>
      <c r="D23"/>
      <c r="E23"/>
      <c r="F23"/>
      <c r="G23"/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1"/>
  <sheetViews>
    <sheetView zoomScale="110" zoomScaleNormal="110" workbookViewId="0">
      <pane xSplit="1" ySplit="2" topLeftCell="B21" activePane="bottomRight" state="frozen"/>
      <selection/>
      <selection pane="topRight"/>
      <selection pane="bottomLeft"/>
      <selection pane="bottomRight" activeCell="O35" sqref="O35"/>
    </sheetView>
  </sheetViews>
  <sheetFormatPr defaultColWidth="9.23076923076923" defaultRowHeight="16.8"/>
  <cols>
    <col min="1" max="1" width="20.1538461538462" style="2" customWidth="1"/>
    <col min="2" max="2" width="9.23076923076923" style="2" customWidth="1"/>
    <col min="3" max="3" width="9.23076923076923" style="2" hidden="1" customWidth="1"/>
    <col min="4" max="4" width="9.23076923076923" style="2"/>
    <col min="5" max="5" width="16.1826923076923" style="2" customWidth="1"/>
    <col min="6" max="6" width="9.23076923076923" style="2"/>
    <col min="7" max="12" width="9.23076923076923" style="2" customWidth="1"/>
    <col min="13" max="13" width="9.23076923076923" style="2" hidden="1" customWidth="1"/>
    <col min="14" max="14" width="9.23076923076923" style="2" customWidth="1"/>
    <col min="15" max="15" width="70.0288461538462" style="2" customWidth="1"/>
    <col min="16" max="21" width="9.23076923076923" style="2"/>
    <col min="22" max="22" width="9.23076923076923" style="2" hidden="1" customWidth="1"/>
    <col min="23" max="16384" width="9.23076923076923" style="2"/>
  </cols>
  <sheetData>
    <row r="1" s="2" customFormat="1" spans="1:34">
      <c r="A1" s="2">
        <f>COLUMN()</f>
        <v>1</v>
      </c>
      <c r="B1" s="2">
        <f>COLUMN()</f>
        <v>2</v>
      </c>
      <c r="C1" s="2">
        <f>COLUMN()</f>
        <v>3</v>
      </c>
      <c r="D1" s="2">
        <f>COLUMN()</f>
        <v>4</v>
      </c>
      <c r="E1" s="2">
        <f>COLUMN()</f>
        <v>5</v>
      </c>
      <c r="F1" s="2">
        <f t="shared" ref="F1:AH1" si="0">COLUMN()</f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si="0"/>
        <v>29</v>
      </c>
      <c r="AD1" s="2">
        <f t="shared" si="0"/>
        <v>30</v>
      </c>
      <c r="AE1" s="2">
        <f t="shared" si="0"/>
        <v>31</v>
      </c>
      <c r="AF1" s="2">
        <f t="shared" si="0"/>
        <v>32</v>
      </c>
      <c r="AG1" s="2">
        <f t="shared" si="0"/>
        <v>33</v>
      </c>
      <c r="AH1" s="2">
        <f t="shared" si="0"/>
        <v>34</v>
      </c>
    </row>
    <row r="2" s="2" customFormat="1" spans="1:34">
      <c r="A2" s="2" t="s">
        <v>99</v>
      </c>
      <c r="B2" s="2" t="s">
        <v>367</v>
      </c>
      <c r="C2" s="2" t="s">
        <v>344</v>
      </c>
      <c r="D2" s="2" t="s">
        <v>343</v>
      </c>
      <c r="E2" s="2" t="s">
        <v>368</v>
      </c>
      <c r="F2" s="2" t="s">
        <v>80</v>
      </c>
      <c r="G2" s="2" t="s">
        <v>135</v>
      </c>
      <c r="H2" s="2" t="s">
        <v>187</v>
      </c>
      <c r="I2" s="2" t="s">
        <v>132</v>
      </c>
      <c r="J2" s="2" t="s">
        <v>146</v>
      </c>
      <c r="K2" s="2" t="s">
        <v>161</v>
      </c>
      <c r="L2" s="2" t="s">
        <v>347</v>
      </c>
      <c r="M2" s="2" t="s">
        <v>131</v>
      </c>
      <c r="N2" s="2" t="s">
        <v>348</v>
      </c>
      <c r="O2" s="2" t="s">
        <v>100</v>
      </c>
      <c r="P2" s="2" t="s">
        <v>135</v>
      </c>
      <c r="Q2" s="2" t="s">
        <v>187</v>
      </c>
      <c r="R2" s="2" t="s">
        <v>132</v>
      </c>
      <c r="S2" s="2" t="s">
        <v>146</v>
      </c>
      <c r="T2" s="2" t="s">
        <v>161</v>
      </c>
      <c r="U2" s="2" t="s">
        <v>347</v>
      </c>
      <c r="V2" s="2" t="s">
        <v>131</v>
      </c>
      <c r="W2" s="2" t="s">
        <v>348</v>
      </c>
      <c r="X2" s="2" t="s">
        <v>349</v>
      </c>
      <c r="Y2" s="2" t="s">
        <v>136</v>
      </c>
      <c r="Z2" s="2" t="s">
        <v>369</v>
      </c>
      <c r="AA2" s="2" t="s">
        <v>370</v>
      </c>
      <c r="AB2" s="2" t="s">
        <v>371</v>
      </c>
      <c r="AC2" s="2" t="s">
        <v>372</v>
      </c>
      <c r="AD2" s="2" t="s">
        <v>373</v>
      </c>
      <c r="AE2" s="2" t="s">
        <v>374</v>
      </c>
      <c r="AF2" s="2" t="s">
        <v>356</v>
      </c>
      <c r="AG2" s="2" t="s">
        <v>375</v>
      </c>
      <c r="AH2" s="2" t="s">
        <v>376</v>
      </c>
    </row>
    <row r="3" s="2" customFormat="1" ht="17" spans="1:34">
      <c r="A3" s="2" t="s">
        <v>134</v>
      </c>
      <c r="B3" s="2">
        <v>570</v>
      </c>
      <c r="C3" s="2">
        <v>37</v>
      </c>
      <c r="D3" s="2" t="s">
        <v>360</v>
      </c>
      <c r="E3" s="7" t="s">
        <v>377</v>
      </c>
      <c r="F3" s="2" t="s">
        <v>128</v>
      </c>
      <c r="G3" s="4">
        <v>0.24</v>
      </c>
      <c r="H3" s="4"/>
      <c r="I3" s="4"/>
      <c r="J3" s="4"/>
      <c r="K3" s="4"/>
      <c r="L3" s="4"/>
      <c r="O3" s="2" t="s">
        <v>378</v>
      </c>
      <c r="P3" s="4"/>
      <c r="Q3" s="4"/>
      <c r="R3" s="4">
        <v>0.16</v>
      </c>
      <c r="S3" s="4"/>
      <c r="T3" s="4"/>
      <c r="U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="2" customFormat="1" spans="1:34">
      <c r="A4" s="2" t="s">
        <v>379</v>
      </c>
      <c r="B4" s="2">
        <v>512</v>
      </c>
      <c r="C4" s="2">
        <v>33</v>
      </c>
      <c r="D4" s="2" t="s">
        <v>360</v>
      </c>
      <c r="E4" s="8" t="s">
        <v>380</v>
      </c>
      <c r="F4" s="2" t="s">
        <v>128</v>
      </c>
      <c r="G4" s="4">
        <v>0.22</v>
      </c>
      <c r="H4" s="4"/>
      <c r="I4" s="4"/>
      <c r="J4" s="4"/>
      <c r="K4" s="4"/>
      <c r="L4" s="4"/>
      <c r="O4" s="2" t="s">
        <v>381</v>
      </c>
      <c r="P4" s="4"/>
      <c r="Q4" s="4"/>
      <c r="R4" s="4">
        <v>0.25</v>
      </c>
      <c r="S4" s="4"/>
      <c r="T4" s="4"/>
      <c r="U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="2" customFormat="1" spans="1:34">
      <c r="A5" s="2" t="s">
        <v>382</v>
      </c>
      <c r="B5" s="2">
        <v>512</v>
      </c>
      <c r="C5" s="2">
        <v>33</v>
      </c>
      <c r="D5" s="2" t="s">
        <v>360</v>
      </c>
      <c r="E5" s="8" t="s">
        <v>380</v>
      </c>
      <c r="F5" s="2" t="s">
        <v>128</v>
      </c>
      <c r="G5" s="4">
        <v>0.22</v>
      </c>
      <c r="H5" s="4"/>
      <c r="I5" s="4"/>
      <c r="J5" s="4"/>
      <c r="K5" s="4"/>
      <c r="L5" s="4"/>
      <c r="O5" s="2" t="s">
        <v>383</v>
      </c>
      <c r="P5" s="4"/>
      <c r="Q5" s="4"/>
      <c r="R5" s="4">
        <v>0.45</v>
      </c>
      <c r="S5" s="4"/>
      <c r="T5" s="4"/>
      <c r="U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="2" customFormat="1" ht="17" spans="1:34">
      <c r="A6" s="2" t="s">
        <v>384</v>
      </c>
      <c r="B6" s="2">
        <v>512</v>
      </c>
      <c r="C6" s="2">
        <v>33</v>
      </c>
      <c r="D6" s="2" t="s">
        <v>360</v>
      </c>
      <c r="E6" s="9" t="s">
        <v>385</v>
      </c>
      <c r="F6" s="2" t="s">
        <v>128</v>
      </c>
      <c r="G6" s="4"/>
      <c r="H6" s="4"/>
      <c r="I6" s="4"/>
      <c r="J6" s="4"/>
      <c r="K6" s="4">
        <v>0.385</v>
      </c>
      <c r="L6" s="4"/>
      <c r="O6" s="2" t="s">
        <v>386</v>
      </c>
      <c r="P6" s="4"/>
      <c r="Q6" s="4"/>
      <c r="R6" s="4"/>
      <c r="S6" s="4">
        <v>0.24</v>
      </c>
      <c r="T6" s="4"/>
      <c r="U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="2" customFormat="1" spans="1:34">
      <c r="A7" s="2" t="s">
        <v>387</v>
      </c>
      <c r="B7" s="2">
        <v>570</v>
      </c>
      <c r="C7" s="2">
        <v>37</v>
      </c>
      <c r="D7" s="2" t="s">
        <v>360</v>
      </c>
      <c r="E7" s="9" t="s">
        <v>388</v>
      </c>
      <c r="F7" s="2" t="s">
        <v>128</v>
      </c>
      <c r="G7" s="4"/>
      <c r="H7" s="4"/>
      <c r="I7" s="4">
        <v>0.275</v>
      </c>
      <c r="J7" s="4"/>
      <c r="K7" s="4"/>
      <c r="L7" s="4"/>
      <c r="M7" s="2"/>
      <c r="N7" s="2"/>
      <c r="O7" s="2" t="s">
        <v>389</v>
      </c>
      <c r="P7" s="4"/>
      <c r="Q7" s="4"/>
      <c r="R7" s="4">
        <v>0.15</v>
      </c>
      <c r="S7" s="4"/>
      <c r="T7" s="4"/>
      <c r="U7" s="4"/>
      <c r="V7" s="2"/>
      <c r="W7" s="2"/>
      <c r="X7" s="4">
        <v>0.15</v>
      </c>
      <c r="Z7" s="4"/>
      <c r="AA7" s="4"/>
      <c r="AB7" s="4"/>
      <c r="AC7" s="4"/>
      <c r="AD7" s="4"/>
      <c r="AE7" s="4"/>
      <c r="AF7" s="4"/>
      <c r="AG7" s="4"/>
      <c r="AH7" s="4"/>
    </row>
    <row r="8" s="2" customFormat="1" ht="17" spans="1:34">
      <c r="A8" s="2" t="s">
        <v>129</v>
      </c>
      <c r="B8" s="2">
        <v>512</v>
      </c>
      <c r="C8" s="2">
        <v>33</v>
      </c>
      <c r="D8" s="2" t="s">
        <v>360</v>
      </c>
      <c r="E8" s="2" t="s">
        <v>390</v>
      </c>
      <c r="F8" s="2" t="s">
        <v>128</v>
      </c>
      <c r="G8" s="4"/>
      <c r="H8" s="4"/>
      <c r="I8" s="4"/>
      <c r="J8" s="4"/>
      <c r="K8" s="4"/>
      <c r="L8" s="4">
        <v>0.33</v>
      </c>
      <c r="M8" s="2"/>
      <c r="N8" s="2"/>
      <c r="O8" s="2" t="s">
        <v>391</v>
      </c>
      <c r="P8" s="4"/>
      <c r="Q8" s="4"/>
      <c r="R8" s="4">
        <v>0.3</v>
      </c>
      <c r="S8" s="4"/>
      <c r="T8" s="4"/>
      <c r="U8" s="4"/>
      <c r="V8" s="2"/>
      <c r="W8" s="2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="2" customFormat="1" spans="1:34">
      <c r="A9" s="2" t="s">
        <v>150</v>
      </c>
      <c r="B9" s="2">
        <v>570</v>
      </c>
      <c r="C9" s="2">
        <v>37</v>
      </c>
      <c r="D9" s="2" t="s">
        <v>360</v>
      </c>
      <c r="E9" s="2" t="s">
        <v>392</v>
      </c>
      <c r="F9" s="2" t="s">
        <v>128</v>
      </c>
      <c r="G9" s="4"/>
      <c r="H9" s="4"/>
      <c r="I9" s="4">
        <v>0.3</v>
      </c>
      <c r="J9" s="4"/>
      <c r="K9" s="4"/>
      <c r="L9" s="4"/>
      <c r="O9" s="2" t="s">
        <v>393</v>
      </c>
      <c r="P9" s="4"/>
      <c r="Q9" s="4"/>
      <c r="R9" s="4"/>
      <c r="S9" s="4"/>
      <c r="T9" s="4"/>
      <c r="U9" s="4"/>
      <c r="X9" s="4"/>
      <c r="Y9" s="4">
        <v>0.15</v>
      </c>
      <c r="Z9" s="4"/>
      <c r="AA9" s="4"/>
      <c r="AB9" s="4"/>
      <c r="AC9" s="4"/>
      <c r="AD9" s="4">
        <v>0.3</v>
      </c>
      <c r="AE9" s="4"/>
      <c r="AF9" s="4"/>
      <c r="AG9" s="4"/>
      <c r="AH9" s="4"/>
    </row>
    <row r="10" s="2" customFormat="1" spans="1:34">
      <c r="A10" s="2" t="s">
        <v>170</v>
      </c>
      <c r="B10" s="2">
        <v>512</v>
      </c>
      <c r="C10" s="2">
        <v>33</v>
      </c>
      <c r="D10" s="2" t="s">
        <v>360</v>
      </c>
      <c r="E10" s="2" t="s">
        <v>394</v>
      </c>
      <c r="F10" s="2" t="s">
        <v>128</v>
      </c>
      <c r="G10" s="4"/>
      <c r="H10" s="4"/>
      <c r="I10" s="4">
        <v>0.275</v>
      </c>
      <c r="J10" s="4"/>
      <c r="K10" s="4"/>
      <c r="L10" s="4"/>
      <c r="O10" s="2" t="s">
        <v>395</v>
      </c>
      <c r="P10" s="4"/>
      <c r="Q10" s="4"/>
      <c r="R10" s="4"/>
      <c r="S10" s="4"/>
      <c r="T10" s="4"/>
      <c r="U10" s="4"/>
      <c r="X10" s="4"/>
      <c r="Y10" s="4">
        <v>0.12</v>
      </c>
      <c r="Z10" s="4"/>
      <c r="AA10" s="4"/>
      <c r="AB10" s="4"/>
      <c r="AC10" s="4"/>
      <c r="AD10" s="4"/>
      <c r="AE10" s="4"/>
      <c r="AF10" s="4"/>
      <c r="AG10" s="4"/>
      <c r="AH10" s="4"/>
    </row>
    <row r="11" s="2" customFormat="1" spans="1:34">
      <c r="A11" s="2" t="s">
        <v>396</v>
      </c>
      <c r="B11" s="2">
        <v>512</v>
      </c>
      <c r="C11" s="2">
        <v>33</v>
      </c>
      <c r="D11" s="2" t="s">
        <v>360</v>
      </c>
      <c r="E11" s="2" t="s">
        <v>394</v>
      </c>
      <c r="F11" s="2" t="s">
        <v>128</v>
      </c>
      <c r="G11" s="4"/>
      <c r="H11" s="4"/>
      <c r="I11" s="4">
        <v>0.275</v>
      </c>
      <c r="J11" s="4"/>
      <c r="K11" s="4"/>
      <c r="L11" s="4"/>
      <c r="P11" s="4"/>
      <c r="Q11" s="4"/>
      <c r="R11" s="4"/>
      <c r="S11" s="4"/>
      <c r="T11" s="4"/>
      <c r="U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="2" customFormat="1" ht="17" spans="1:34">
      <c r="A12" s="2" t="s">
        <v>397</v>
      </c>
      <c r="B12" s="2">
        <v>475</v>
      </c>
      <c r="C12" s="2">
        <v>31</v>
      </c>
      <c r="D12" s="2" t="s">
        <v>361</v>
      </c>
      <c r="E12" s="10" t="s">
        <v>398</v>
      </c>
      <c r="F12" s="2" t="s">
        <v>128</v>
      </c>
      <c r="G12" s="4"/>
      <c r="H12" s="4"/>
      <c r="I12" s="4"/>
      <c r="J12" s="4">
        <v>0.25</v>
      </c>
      <c r="K12" s="4"/>
      <c r="L12" s="4"/>
      <c r="O12" s="2" t="s">
        <v>399</v>
      </c>
      <c r="P12" s="4"/>
      <c r="Q12" s="4"/>
      <c r="R12" s="4"/>
      <c r="S12" s="4"/>
      <c r="T12" s="4"/>
      <c r="U12" s="4"/>
      <c r="W12" s="2">
        <v>162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="2" customFormat="1" ht="17" spans="1:34">
      <c r="A13" s="2" t="s">
        <v>400</v>
      </c>
      <c r="B13" s="2">
        <v>475</v>
      </c>
      <c r="C13" s="2">
        <v>31</v>
      </c>
      <c r="D13" s="2" t="s">
        <v>361</v>
      </c>
      <c r="E13" s="2" t="s">
        <v>401</v>
      </c>
      <c r="F13" s="2" t="s">
        <v>128</v>
      </c>
      <c r="G13" s="4"/>
      <c r="H13" s="4"/>
      <c r="I13" s="4"/>
      <c r="J13" s="4">
        <v>0.25</v>
      </c>
      <c r="K13" s="4"/>
      <c r="L13" s="4"/>
      <c r="O13" s="2" t="s">
        <v>402</v>
      </c>
      <c r="P13" s="4"/>
      <c r="Q13" s="4"/>
      <c r="R13" s="4">
        <v>0.36</v>
      </c>
      <c r="S13" s="4"/>
      <c r="T13" s="4"/>
      <c r="U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="2" customFormat="1" spans="1:34">
      <c r="A14" s="2" t="s">
        <v>403</v>
      </c>
      <c r="B14" s="2">
        <v>380</v>
      </c>
      <c r="C14" s="2">
        <v>24</v>
      </c>
      <c r="D14" s="2" t="s">
        <v>404</v>
      </c>
      <c r="E14" s="2" t="s">
        <v>405</v>
      </c>
      <c r="F14" s="2" t="s">
        <v>128</v>
      </c>
      <c r="G14" s="4"/>
      <c r="H14" s="4"/>
      <c r="I14" s="4">
        <v>0.2</v>
      </c>
      <c r="J14" s="4"/>
      <c r="K14" s="4"/>
      <c r="L14" s="4"/>
      <c r="M14" s="2"/>
      <c r="N14" s="2"/>
      <c r="O14" s="2" t="s">
        <v>406</v>
      </c>
      <c r="P14" s="4"/>
      <c r="Q14" s="4"/>
      <c r="R14" s="4">
        <v>0.16</v>
      </c>
      <c r="S14" s="4"/>
      <c r="T14" s="4"/>
      <c r="U14" s="4"/>
      <c r="V14" s="2"/>
      <c r="W14" s="2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="2" customFormat="1" ht="17" spans="1:34">
      <c r="A15" s="2" t="s">
        <v>163</v>
      </c>
      <c r="B15" s="2">
        <v>570</v>
      </c>
      <c r="C15" s="2">
        <v>37</v>
      </c>
      <c r="D15" s="2" t="s">
        <v>360</v>
      </c>
      <c r="E15" s="7" t="s">
        <v>377</v>
      </c>
      <c r="F15" s="2" t="s">
        <v>142</v>
      </c>
      <c r="G15" s="4">
        <v>0.24</v>
      </c>
      <c r="H15" s="4"/>
      <c r="I15" s="4"/>
      <c r="J15" s="4"/>
      <c r="K15" s="4"/>
      <c r="L15" s="4"/>
      <c r="O15" s="2" t="s">
        <v>407</v>
      </c>
      <c r="P15" s="4"/>
      <c r="Q15" s="4">
        <v>0.6</v>
      </c>
      <c r="R15" s="4">
        <v>0.14</v>
      </c>
      <c r="S15" s="4"/>
      <c r="T15" s="4"/>
      <c r="U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="2" customFormat="1" spans="1:34">
      <c r="A16" s="2" t="s">
        <v>408</v>
      </c>
      <c r="B16" s="2">
        <v>512</v>
      </c>
      <c r="C16" s="2">
        <v>33</v>
      </c>
      <c r="D16" s="2" t="s">
        <v>360</v>
      </c>
      <c r="E16" s="8" t="s">
        <v>380</v>
      </c>
      <c r="F16" s="2" t="s">
        <v>142</v>
      </c>
      <c r="G16" s="4"/>
      <c r="H16" s="4">
        <v>0.44</v>
      </c>
      <c r="I16" s="4"/>
      <c r="J16" s="4"/>
      <c r="K16" s="4"/>
      <c r="L16" s="4"/>
      <c r="O16" s="2" t="s">
        <v>409</v>
      </c>
      <c r="P16" s="4"/>
      <c r="Q16" s="4"/>
      <c r="R16" s="4">
        <f>5%*5</f>
        <v>0.25</v>
      </c>
      <c r="S16" s="4"/>
      <c r="T16" s="4"/>
      <c r="U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="2" customFormat="1" spans="1:34">
      <c r="A17" s="2" t="s">
        <v>410</v>
      </c>
      <c r="B17" s="2">
        <v>512</v>
      </c>
      <c r="C17" s="2">
        <v>33</v>
      </c>
      <c r="D17" s="2" t="s">
        <v>360</v>
      </c>
      <c r="E17" s="8" t="s">
        <v>380</v>
      </c>
      <c r="F17" s="2" t="s">
        <v>142</v>
      </c>
      <c r="G17" s="4"/>
      <c r="H17" s="4">
        <v>0.44</v>
      </c>
      <c r="I17" s="4"/>
      <c r="J17" s="4"/>
      <c r="K17" s="4"/>
      <c r="L17" s="4"/>
      <c r="O17" s="2" t="s">
        <v>411</v>
      </c>
      <c r="P17" s="4"/>
      <c r="Q17" s="4"/>
      <c r="R17" s="4">
        <v>0.45</v>
      </c>
      <c r="S17" s="4"/>
      <c r="T17" s="4"/>
      <c r="U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="2" customFormat="1" spans="1:34">
      <c r="A18" s="2" t="s">
        <v>166</v>
      </c>
      <c r="B18" s="2">
        <v>570</v>
      </c>
      <c r="C18" s="2">
        <v>37</v>
      </c>
      <c r="D18" s="2" t="s">
        <v>360</v>
      </c>
      <c r="E18" s="2" t="s">
        <v>412</v>
      </c>
      <c r="F18" s="2" t="s">
        <v>142</v>
      </c>
      <c r="G18" s="4"/>
      <c r="H18" s="4"/>
      <c r="I18" s="4">
        <v>0.3</v>
      </c>
      <c r="J18" s="4"/>
      <c r="K18" s="4"/>
      <c r="L18" s="4"/>
      <c r="M18" s="2"/>
      <c r="N18" s="2"/>
      <c r="O18" s="2" t="s">
        <v>413</v>
      </c>
      <c r="P18" s="4"/>
      <c r="Q18" s="4"/>
      <c r="R18" s="4"/>
      <c r="S18" s="4"/>
      <c r="T18" s="4"/>
      <c r="U18" s="4"/>
      <c r="V18" s="2"/>
      <c r="W18" s="2">
        <v>60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="2" customFormat="1" spans="1:34">
      <c r="A19" s="2" t="s">
        <v>143</v>
      </c>
      <c r="B19" s="2">
        <v>395</v>
      </c>
      <c r="C19" s="2">
        <v>25</v>
      </c>
      <c r="D19" s="2" t="s">
        <v>361</v>
      </c>
      <c r="E19" s="2" t="s">
        <v>414</v>
      </c>
      <c r="F19" s="2" t="s">
        <v>142</v>
      </c>
      <c r="G19" s="4"/>
      <c r="H19" s="4"/>
      <c r="I19" s="4"/>
      <c r="J19" s="4">
        <v>0.375</v>
      </c>
      <c r="K19" s="4"/>
      <c r="L19" s="4"/>
      <c r="O19" s="2" t="s">
        <v>415</v>
      </c>
      <c r="P19" s="4"/>
      <c r="Q19" s="4"/>
      <c r="R19" s="4"/>
      <c r="S19" s="4"/>
      <c r="T19" s="4"/>
      <c r="U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="2" customFormat="1" spans="1:34">
      <c r="A20" s="2" t="s">
        <v>416</v>
      </c>
      <c r="B20" s="2">
        <v>475</v>
      </c>
      <c r="C20" s="2">
        <v>31</v>
      </c>
      <c r="D20" s="2" t="s">
        <v>361</v>
      </c>
      <c r="E20" s="2" t="s">
        <v>417</v>
      </c>
      <c r="F20" s="2" t="s">
        <v>142</v>
      </c>
      <c r="G20" s="4"/>
      <c r="H20" s="4"/>
      <c r="I20" s="4">
        <v>0.25</v>
      </c>
      <c r="J20" s="4"/>
      <c r="K20" s="4"/>
      <c r="L20" s="4"/>
      <c r="M20" s="2"/>
      <c r="N20" s="2"/>
      <c r="O20" s="2" t="s">
        <v>418</v>
      </c>
      <c r="P20" s="4"/>
      <c r="Q20" s="4"/>
      <c r="R20" s="4"/>
      <c r="S20" s="4"/>
      <c r="T20" s="4"/>
      <c r="U20" s="4"/>
      <c r="V20" s="2"/>
      <c r="W20" s="2">
        <v>84</v>
      </c>
      <c r="X20" s="4"/>
      <c r="Y20" s="4"/>
      <c r="Z20" s="4"/>
      <c r="AA20" s="4"/>
      <c r="AB20" s="4"/>
      <c r="AC20" s="4"/>
      <c r="AD20" s="4"/>
      <c r="AE20" s="4"/>
      <c r="AF20" s="4">
        <v>0.18</v>
      </c>
      <c r="AG20" s="4"/>
      <c r="AH20" s="4"/>
    </row>
    <row r="21" s="2" customFormat="1" spans="1:34">
      <c r="A21" s="2" t="s">
        <v>419</v>
      </c>
      <c r="B21" s="2">
        <v>555</v>
      </c>
      <c r="C21" s="2">
        <v>36</v>
      </c>
      <c r="D21" s="2" t="s">
        <v>361</v>
      </c>
      <c r="E21" s="2" t="s">
        <v>420</v>
      </c>
      <c r="F21" s="2" t="s">
        <v>142</v>
      </c>
      <c r="G21" s="4"/>
      <c r="H21" s="4"/>
      <c r="I21" s="4"/>
      <c r="J21" s="4"/>
      <c r="K21" s="4"/>
      <c r="L21" s="4"/>
      <c r="M21" s="2"/>
      <c r="N21" s="2">
        <v>60</v>
      </c>
      <c r="O21" s="11" t="s">
        <v>421</v>
      </c>
      <c r="P21" s="4"/>
      <c r="Q21" s="4"/>
      <c r="R21" s="4"/>
      <c r="S21" s="4"/>
      <c r="T21" s="4"/>
      <c r="U21" s="4"/>
      <c r="V21" s="2"/>
      <c r="W21" s="2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="2" customFormat="1" spans="1:34">
      <c r="A22" s="2" t="s">
        <v>152</v>
      </c>
      <c r="B22" s="2">
        <v>475</v>
      </c>
      <c r="C22" s="2">
        <v>31</v>
      </c>
      <c r="D22" s="2" t="s">
        <v>361</v>
      </c>
      <c r="E22" s="2" t="s">
        <v>422</v>
      </c>
      <c r="F22" s="2" t="s">
        <v>142</v>
      </c>
      <c r="G22" s="4"/>
      <c r="H22" s="4"/>
      <c r="I22" s="4">
        <v>0.25</v>
      </c>
      <c r="J22" s="4"/>
      <c r="K22" s="4"/>
      <c r="L22" s="4"/>
      <c r="O22" s="2" t="s">
        <v>423</v>
      </c>
      <c r="P22" s="4"/>
      <c r="Q22" s="4"/>
      <c r="R22" s="4"/>
      <c r="S22" s="4"/>
      <c r="T22" s="4"/>
      <c r="U22" s="4"/>
      <c r="X22" s="4"/>
      <c r="Y22" s="4"/>
      <c r="Z22" s="4"/>
      <c r="AA22" s="4">
        <v>0.35</v>
      </c>
      <c r="AB22" s="4">
        <v>0.35</v>
      </c>
      <c r="AC22" s="4"/>
      <c r="AD22" s="4"/>
      <c r="AE22" s="4"/>
      <c r="AF22" s="4"/>
      <c r="AG22" s="4"/>
      <c r="AH22" s="4"/>
    </row>
    <row r="23" s="2" customFormat="1" spans="1:34">
      <c r="A23" s="2" t="s">
        <v>424</v>
      </c>
      <c r="B23" s="2">
        <v>380</v>
      </c>
      <c r="C23" s="2">
        <v>24</v>
      </c>
      <c r="D23" s="2" t="s">
        <v>404</v>
      </c>
      <c r="E23" s="2" t="s">
        <v>405</v>
      </c>
      <c r="F23" s="2" t="s">
        <v>142</v>
      </c>
      <c r="G23" s="4"/>
      <c r="H23" s="4"/>
      <c r="I23" s="4">
        <v>0.25</v>
      </c>
      <c r="J23" s="4"/>
      <c r="K23" s="4"/>
      <c r="L23" s="4"/>
      <c r="M23" s="2"/>
      <c r="N23" s="2"/>
      <c r="O23" s="2" t="s">
        <v>425</v>
      </c>
      <c r="P23" s="4"/>
      <c r="Q23" s="4"/>
      <c r="R23" s="4"/>
      <c r="S23" s="4"/>
      <c r="T23" s="4"/>
      <c r="U23" s="4"/>
      <c r="V23" s="2"/>
      <c r="W23" s="2"/>
      <c r="X23" s="4"/>
      <c r="Y23" s="4"/>
      <c r="Z23" s="4"/>
      <c r="AA23" s="4">
        <v>0.16</v>
      </c>
      <c r="AB23" s="4"/>
      <c r="AC23" s="4"/>
      <c r="AD23" s="4"/>
      <c r="AE23" s="4"/>
      <c r="AF23" s="4"/>
      <c r="AG23" s="4"/>
      <c r="AH23" s="4"/>
    </row>
    <row r="24" s="2" customFormat="1" spans="1:34">
      <c r="A24" s="2" t="s">
        <v>426</v>
      </c>
      <c r="B24" s="2">
        <v>512</v>
      </c>
      <c r="C24" s="2">
        <v>33</v>
      </c>
      <c r="D24" s="2" t="s">
        <v>360</v>
      </c>
      <c r="E24" s="8" t="s">
        <v>380</v>
      </c>
      <c r="F24" s="2" t="s">
        <v>139</v>
      </c>
      <c r="G24" s="4"/>
      <c r="H24" s="4"/>
      <c r="I24" s="4">
        <v>0.275</v>
      </c>
      <c r="J24" s="4"/>
      <c r="K24" s="4"/>
      <c r="L24" s="4"/>
      <c r="O24" s="11" t="s">
        <v>427</v>
      </c>
      <c r="P24" s="4"/>
      <c r="Q24" s="4"/>
      <c r="R24" s="4"/>
      <c r="S24" s="4"/>
      <c r="T24" s="4"/>
      <c r="U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="2" customFormat="1" spans="1:34">
      <c r="A25" s="2" t="s">
        <v>428</v>
      </c>
      <c r="B25" s="2">
        <v>512</v>
      </c>
      <c r="C25" s="2">
        <v>33</v>
      </c>
      <c r="D25" s="2" t="s">
        <v>360</v>
      </c>
      <c r="E25" s="8" t="s">
        <v>380</v>
      </c>
      <c r="F25" s="2" t="s">
        <v>139</v>
      </c>
      <c r="G25" s="4"/>
      <c r="H25" s="4"/>
      <c r="I25" s="4">
        <v>0.275</v>
      </c>
      <c r="J25" s="4"/>
      <c r="K25" s="4"/>
      <c r="L25" s="4"/>
      <c r="O25" s="11" t="s">
        <v>429</v>
      </c>
      <c r="P25" s="4"/>
      <c r="Q25" s="4"/>
      <c r="R25" s="4"/>
      <c r="S25" s="4"/>
      <c r="T25" s="4"/>
      <c r="U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="2" customFormat="1" spans="1:34">
      <c r="A26" s="2" t="s">
        <v>140</v>
      </c>
      <c r="B26" s="2">
        <v>512</v>
      </c>
      <c r="C26" s="2">
        <v>33</v>
      </c>
      <c r="D26" s="2" t="s">
        <v>360</v>
      </c>
      <c r="E26" s="9" t="s">
        <v>430</v>
      </c>
      <c r="F26" s="2" t="s">
        <v>139</v>
      </c>
      <c r="G26" s="4"/>
      <c r="H26" s="4">
        <v>0.44</v>
      </c>
      <c r="I26" s="4"/>
      <c r="J26" s="4"/>
      <c r="K26" s="4"/>
      <c r="L26" s="4"/>
      <c r="O26" s="2" t="s">
        <v>431</v>
      </c>
      <c r="P26" s="4"/>
      <c r="Q26" s="4"/>
      <c r="R26" s="4"/>
      <c r="S26" s="4"/>
      <c r="T26" s="4"/>
      <c r="U26" s="4"/>
      <c r="X26" s="4"/>
      <c r="Y26" s="4">
        <v>0.25</v>
      </c>
      <c r="Z26" s="4"/>
      <c r="AA26" s="4"/>
      <c r="AB26" s="4"/>
      <c r="AC26" s="4"/>
      <c r="AD26" s="4"/>
      <c r="AE26" s="4"/>
      <c r="AF26" s="4"/>
      <c r="AG26" s="4"/>
      <c r="AH26" s="4"/>
    </row>
    <row r="27" s="2" customFormat="1" spans="1:34">
      <c r="A27" s="2" t="s">
        <v>432</v>
      </c>
      <c r="B27" s="2">
        <v>512</v>
      </c>
      <c r="C27" s="2">
        <v>33</v>
      </c>
      <c r="D27" s="2" t="s">
        <v>360</v>
      </c>
      <c r="E27" s="9" t="s">
        <v>430</v>
      </c>
      <c r="F27" s="2" t="s">
        <v>139</v>
      </c>
      <c r="G27" s="4"/>
      <c r="H27" s="4">
        <v>0.44</v>
      </c>
      <c r="I27" s="4"/>
      <c r="J27" s="4"/>
      <c r="K27" s="4"/>
      <c r="L27" s="4"/>
      <c r="O27" s="2" t="s">
        <v>433</v>
      </c>
      <c r="P27" s="4"/>
      <c r="Q27" s="4"/>
      <c r="R27" s="4"/>
      <c r="S27" s="4"/>
      <c r="T27" s="4"/>
      <c r="U27" s="4"/>
      <c r="X27" s="4"/>
      <c r="Y27" s="4">
        <v>0.45</v>
      </c>
      <c r="Z27" s="4"/>
      <c r="AA27" s="4"/>
      <c r="AB27" s="4"/>
      <c r="AC27" s="4"/>
      <c r="AD27" s="4"/>
      <c r="AE27" s="4"/>
      <c r="AF27" s="4"/>
      <c r="AG27" s="4"/>
      <c r="AH27" s="4"/>
    </row>
    <row r="28" s="2" customFormat="1" spans="1:34">
      <c r="A28" s="2" t="s">
        <v>434</v>
      </c>
      <c r="B28" s="2">
        <v>512</v>
      </c>
      <c r="C28" s="2">
        <v>33</v>
      </c>
      <c r="D28" s="2" t="s">
        <v>360</v>
      </c>
      <c r="E28" s="2" t="s">
        <v>435</v>
      </c>
      <c r="F28" s="2" t="s">
        <v>139</v>
      </c>
      <c r="G28" s="4"/>
      <c r="H28" s="4"/>
      <c r="I28" s="4">
        <v>0.275</v>
      </c>
      <c r="J28" s="4"/>
      <c r="K28" s="4"/>
      <c r="L28" s="4"/>
      <c r="O28" s="2" t="s">
        <v>436</v>
      </c>
      <c r="P28" s="4"/>
      <c r="Q28" s="4"/>
      <c r="R28" s="4"/>
      <c r="S28" s="4"/>
      <c r="T28" s="4"/>
      <c r="U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="2" customFormat="1" ht="17" spans="1:34">
      <c r="A29" s="2" t="s">
        <v>158</v>
      </c>
      <c r="B29" s="2">
        <v>474</v>
      </c>
      <c r="C29" s="2">
        <v>31</v>
      </c>
      <c r="D29" s="2" t="s">
        <v>360</v>
      </c>
      <c r="E29" s="2" t="s">
        <v>437</v>
      </c>
      <c r="F29" s="2" t="s">
        <v>139</v>
      </c>
      <c r="G29" s="4"/>
      <c r="H29" s="4"/>
      <c r="I29" s="4">
        <v>0.45</v>
      </c>
      <c r="J29" s="4"/>
      <c r="K29" s="4"/>
      <c r="L29" s="4"/>
      <c r="M29" s="2"/>
      <c r="N29" s="2"/>
      <c r="O29" s="2" t="s">
        <v>438</v>
      </c>
      <c r="P29" s="4"/>
      <c r="Q29" s="4"/>
      <c r="R29" s="4"/>
      <c r="S29" s="4"/>
      <c r="T29" s="4"/>
      <c r="U29" s="4">
        <v>0.18</v>
      </c>
      <c r="V29" s="2"/>
      <c r="W29" s="2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="2" customFormat="1" spans="1:34">
      <c r="A30" s="2" t="s">
        <v>439</v>
      </c>
      <c r="B30" s="2">
        <v>475</v>
      </c>
      <c r="C30" s="2">
        <v>31</v>
      </c>
      <c r="D30" s="2" t="s">
        <v>361</v>
      </c>
      <c r="E30" s="2" t="s">
        <v>440</v>
      </c>
      <c r="F30" s="2" t="s">
        <v>139</v>
      </c>
      <c r="G30" s="4"/>
      <c r="H30" s="4"/>
      <c r="I30" s="4">
        <v>0.25</v>
      </c>
      <c r="J30" s="4"/>
      <c r="K30" s="4"/>
      <c r="L30" s="4"/>
      <c r="M30" s="2"/>
      <c r="N30" s="2"/>
      <c r="O30" s="2" t="s">
        <v>441</v>
      </c>
      <c r="P30" s="4"/>
      <c r="Q30" s="4"/>
      <c r="R30" s="4"/>
      <c r="S30" s="4"/>
      <c r="T30" s="4"/>
      <c r="U30" s="4"/>
      <c r="V30" s="2"/>
      <c r="W30" s="2"/>
      <c r="X30" s="4">
        <v>0.3</v>
      </c>
      <c r="Z30" s="4"/>
      <c r="AA30" s="4"/>
      <c r="AB30" s="4"/>
      <c r="AC30" s="4"/>
      <c r="AD30" s="4"/>
      <c r="AE30" s="4"/>
      <c r="AF30" s="4"/>
      <c r="AG30" s="4"/>
      <c r="AH30" s="4"/>
    </row>
    <row r="31" s="2" customFormat="1" spans="1:34">
      <c r="A31" s="2" t="s">
        <v>175</v>
      </c>
      <c r="B31" s="2">
        <v>475</v>
      </c>
      <c r="C31" s="2">
        <v>31</v>
      </c>
      <c r="D31" s="2" t="s">
        <v>361</v>
      </c>
      <c r="E31" s="2" t="s">
        <v>442</v>
      </c>
      <c r="F31" s="2" t="s">
        <v>139</v>
      </c>
      <c r="G31" s="4"/>
      <c r="H31" s="4">
        <v>0.4</v>
      </c>
      <c r="I31" s="4"/>
      <c r="J31" s="4"/>
      <c r="K31" s="4"/>
      <c r="L31" s="4"/>
      <c r="M31" s="2"/>
      <c r="N31" s="2"/>
      <c r="O31" s="2" t="s">
        <v>443</v>
      </c>
      <c r="P31" s="4"/>
      <c r="Q31" s="4"/>
      <c r="R31" s="4">
        <v>0.18</v>
      </c>
      <c r="S31" s="4"/>
      <c r="T31" s="4"/>
      <c r="U31" s="4"/>
      <c r="V31" s="2"/>
      <c r="W31" s="2"/>
      <c r="X31" s="4"/>
      <c r="Y31" s="4">
        <v>0.18</v>
      </c>
      <c r="Z31" s="4"/>
      <c r="AA31" s="4"/>
      <c r="AB31" s="4"/>
      <c r="AC31" s="4"/>
      <c r="AD31" s="4"/>
      <c r="AE31" s="4"/>
      <c r="AF31" s="4"/>
      <c r="AG31" s="4"/>
      <c r="AH31" s="4"/>
    </row>
    <row r="32" s="2" customFormat="1" ht="17" spans="1:34">
      <c r="A32" s="2" t="s">
        <v>444</v>
      </c>
      <c r="B32" s="2">
        <v>475</v>
      </c>
      <c r="C32" s="2">
        <v>31</v>
      </c>
      <c r="D32" s="2" t="s">
        <v>361</v>
      </c>
      <c r="E32" s="2" t="s">
        <v>445</v>
      </c>
      <c r="F32" s="2" t="s">
        <v>139</v>
      </c>
      <c r="G32" s="4"/>
      <c r="H32" s="4"/>
      <c r="I32" s="4"/>
      <c r="J32" s="4"/>
      <c r="K32" s="4"/>
      <c r="L32" s="4"/>
      <c r="N32" s="2">
        <v>48</v>
      </c>
      <c r="O32" s="2" t="s">
        <v>446</v>
      </c>
      <c r="P32" s="4"/>
      <c r="Q32" s="4"/>
      <c r="R32" s="4"/>
      <c r="S32" s="4"/>
      <c r="T32" s="4"/>
      <c r="U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="2" customFormat="1" spans="1:34">
      <c r="A33" s="2" t="s">
        <v>447</v>
      </c>
      <c r="B33" s="2">
        <v>316</v>
      </c>
      <c r="C33" s="2">
        <v>31</v>
      </c>
      <c r="D33" s="2" t="s">
        <v>404</v>
      </c>
      <c r="E33" s="2" t="s">
        <v>405</v>
      </c>
      <c r="F33" s="2" t="s">
        <v>139</v>
      </c>
      <c r="G33" s="4"/>
      <c r="H33" s="4"/>
      <c r="I33" s="4"/>
      <c r="J33" s="4">
        <v>0.3</v>
      </c>
      <c r="K33" s="4"/>
      <c r="L33" s="4"/>
      <c r="M33" s="2"/>
      <c r="N33" s="2"/>
      <c r="O33" s="2" t="s">
        <v>448</v>
      </c>
      <c r="P33" s="4"/>
      <c r="Q33" s="4"/>
      <c r="R33" s="4"/>
      <c r="S33" s="4"/>
      <c r="T33" s="4"/>
      <c r="U33" s="4"/>
      <c r="V33" s="2"/>
      <c r="W33" s="2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="2" customFormat="1" ht="34" spans="1:34">
      <c r="A34" s="2" t="s">
        <v>148</v>
      </c>
      <c r="B34" s="2">
        <v>570</v>
      </c>
      <c r="C34" s="2">
        <v>37</v>
      </c>
      <c r="D34" s="2" t="s">
        <v>360</v>
      </c>
      <c r="E34" s="7" t="s">
        <v>377</v>
      </c>
      <c r="F34" s="2" t="s">
        <v>147</v>
      </c>
      <c r="G34" s="4">
        <v>0.24</v>
      </c>
      <c r="H34" s="4"/>
      <c r="I34" s="4"/>
      <c r="J34" s="4"/>
      <c r="K34" s="4"/>
      <c r="L34" s="4"/>
      <c r="M34" s="2"/>
      <c r="N34" s="2"/>
      <c r="O34" s="12" t="s">
        <v>449</v>
      </c>
      <c r="P34" s="4"/>
      <c r="Q34" s="4"/>
      <c r="R34" s="4">
        <v>0.15</v>
      </c>
      <c r="S34" s="4"/>
      <c r="T34" s="4"/>
      <c r="U34" s="4"/>
      <c r="V34" s="2"/>
      <c r="W34" s="2"/>
      <c r="X34" s="4"/>
      <c r="Y34" s="4"/>
      <c r="Z34" s="4">
        <v>0.15</v>
      </c>
      <c r="AA34" s="4"/>
      <c r="AB34" s="4">
        <v>0.1</v>
      </c>
      <c r="AC34" s="4"/>
      <c r="AD34" s="4"/>
      <c r="AE34" s="4"/>
      <c r="AF34" s="4"/>
      <c r="AG34" s="4"/>
      <c r="AH34" s="4"/>
    </row>
    <row r="35" s="2" customFormat="1" spans="1:34">
      <c r="A35" s="2" t="s">
        <v>450</v>
      </c>
      <c r="B35" s="2">
        <v>512</v>
      </c>
      <c r="C35" s="2">
        <v>33</v>
      </c>
      <c r="D35" s="2" t="s">
        <v>360</v>
      </c>
      <c r="E35" s="8" t="s">
        <v>380</v>
      </c>
      <c r="F35" s="2" t="s">
        <v>147</v>
      </c>
      <c r="G35" s="4"/>
      <c r="H35" s="4"/>
      <c r="I35" s="4">
        <v>0.275</v>
      </c>
      <c r="J35" s="4"/>
      <c r="K35" s="4"/>
      <c r="L35" s="4"/>
      <c r="O35" s="2" t="s">
        <v>451</v>
      </c>
      <c r="P35" s="4"/>
      <c r="Q35" s="4"/>
      <c r="R35" s="4"/>
      <c r="S35" s="4"/>
      <c r="T35" s="4"/>
      <c r="U35" s="4"/>
      <c r="X35" s="4">
        <v>0.25</v>
      </c>
      <c r="Z35" s="4"/>
      <c r="AA35" s="4"/>
      <c r="AB35" s="4"/>
      <c r="AC35" s="4"/>
      <c r="AD35" s="4"/>
      <c r="AE35" s="4"/>
      <c r="AF35" s="4"/>
      <c r="AG35" s="4"/>
      <c r="AH35" s="4"/>
    </row>
    <row r="36" s="2" customFormat="1" spans="1:34">
      <c r="A36" s="2" t="s">
        <v>452</v>
      </c>
      <c r="B36" s="2">
        <v>512</v>
      </c>
      <c r="C36" s="2">
        <v>33</v>
      </c>
      <c r="D36" s="2" t="s">
        <v>360</v>
      </c>
      <c r="E36" s="8" t="s">
        <v>380</v>
      </c>
      <c r="F36" s="2" t="s">
        <v>147</v>
      </c>
      <c r="G36" s="4"/>
      <c r="H36" s="4"/>
      <c r="I36" s="4">
        <v>0.275</v>
      </c>
      <c r="J36" s="4"/>
      <c r="K36" s="4"/>
      <c r="L36" s="4"/>
      <c r="O36" s="2" t="s">
        <v>453</v>
      </c>
      <c r="P36" s="4"/>
      <c r="Q36" s="4"/>
      <c r="R36" s="4"/>
      <c r="S36" s="4"/>
      <c r="T36" s="4"/>
      <c r="U36" s="4"/>
      <c r="X36" s="4">
        <v>0.45</v>
      </c>
      <c r="Z36" s="4"/>
      <c r="AA36" s="4"/>
      <c r="AB36" s="4"/>
      <c r="AC36" s="4"/>
      <c r="AD36" s="4"/>
      <c r="AE36" s="4"/>
      <c r="AF36" s="4"/>
      <c r="AG36" s="4"/>
      <c r="AH36" s="4"/>
    </row>
    <row r="37" s="2" customFormat="1" spans="1:34">
      <c r="A37" s="2" t="s">
        <v>454</v>
      </c>
      <c r="B37" s="2">
        <v>512</v>
      </c>
      <c r="C37" s="2">
        <v>33</v>
      </c>
      <c r="D37" s="2" t="s">
        <v>360</v>
      </c>
      <c r="E37" s="2" t="s">
        <v>455</v>
      </c>
      <c r="F37" s="2" t="s">
        <v>147</v>
      </c>
      <c r="G37" s="4"/>
      <c r="H37" s="4"/>
      <c r="I37" s="4">
        <v>0.275</v>
      </c>
      <c r="J37" s="4"/>
      <c r="K37" s="4"/>
      <c r="L37" s="4"/>
      <c r="O37" s="2" t="s">
        <v>456</v>
      </c>
      <c r="P37" s="4"/>
      <c r="Q37" s="4"/>
      <c r="R37" s="4"/>
      <c r="S37" s="4"/>
      <c r="T37" s="4"/>
      <c r="U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="2" customFormat="1" spans="1:34">
      <c r="A38" s="2" t="s">
        <v>172</v>
      </c>
      <c r="B38" s="2">
        <v>666</v>
      </c>
      <c r="C38" s="2">
        <v>43</v>
      </c>
      <c r="D38" s="2" t="s">
        <v>360</v>
      </c>
      <c r="E38" s="2" t="s">
        <v>457</v>
      </c>
      <c r="F38" s="2" t="s">
        <v>147</v>
      </c>
      <c r="G38" s="4"/>
      <c r="H38" s="4">
        <v>0.24</v>
      </c>
      <c r="I38" s="4"/>
      <c r="J38" s="4"/>
      <c r="K38" s="4"/>
      <c r="L38" s="4"/>
      <c r="M38" s="2"/>
      <c r="N38" s="2"/>
      <c r="O38" s="11" t="s">
        <v>458</v>
      </c>
      <c r="P38" s="4"/>
      <c r="Q38" s="4"/>
      <c r="R38" s="4"/>
      <c r="S38" s="4"/>
      <c r="T38" s="4"/>
      <c r="U38" s="4"/>
      <c r="V38" s="2"/>
      <c r="W38" s="2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="2" customFormat="1" spans="1:34">
      <c r="A39" s="2" t="s">
        <v>459</v>
      </c>
      <c r="B39" s="2">
        <v>395</v>
      </c>
      <c r="C39" s="2">
        <v>25</v>
      </c>
      <c r="D39" s="2" t="s">
        <v>361</v>
      </c>
      <c r="E39" s="2" t="s">
        <v>460</v>
      </c>
      <c r="F39" s="2" t="s">
        <v>147</v>
      </c>
      <c r="G39" s="4"/>
      <c r="H39" s="4"/>
      <c r="I39" s="4">
        <v>0.375</v>
      </c>
      <c r="J39" s="4"/>
      <c r="K39" s="4"/>
      <c r="L39" s="4"/>
      <c r="O39" s="11" t="s">
        <v>461</v>
      </c>
      <c r="P39" s="4"/>
      <c r="Q39" s="4"/>
      <c r="R39" s="4"/>
      <c r="S39" s="4"/>
      <c r="T39" s="4"/>
      <c r="U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="2" customFormat="1" spans="1:34">
      <c r="A40" s="2" t="s">
        <v>462</v>
      </c>
      <c r="B40" s="2">
        <v>395</v>
      </c>
      <c r="C40" s="2">
        <v>25</v>
      </c>
      <c r="D40" s="2" t="s">
        <v>361</v>
      </c>
      <c r="E40" s="2" t="s">
        <v>463</v>
      </c>
      <c r="F40" s="2" t="s">
        <v>147</v>
      </c>
      <c r="G40" s="4"/>
      <c r="H40" s="4"/>
      <c r="I40" s="4">
        <v>0.375</v>
      </c>
      <c r="J40" s="4"/>
      <c r="K40" s="4"/>
      <c r="L40" s="4"/>
      <c r="O40" s="2" t="s">
        <v>464</v>
      </c>
      <c r="P40" s="4"/>
      <c r="Q40" s="4"/>
      <c r="R40" s="4"/>
      <c r="S40" s="4"/>
      <c r="T40" s="4"/>
      <c r="U40" s="4"/>
      <c r="X40" s="4"/>
      <c r="Y40" s="4"/>
      <c r="Z40" s="4">
        <f>36%*0.5</f>
        <v>0.18</v>
      </c>
      <c r="AA40" s="4"/>
      <c r="AB40" s="4"/>
      <c r="AC40" s="4"/>
      <c r="AD40" s="4"/>
      <c r="AE40" s="4"/>
      <c r="AF40" s="4"/>
      <c r="AG40" s="4"/>
      <c r="AH40" s="4"/>
    </row>
    <row r="41" s="2" customFormat="1" spans="1:34">
      <c r="A41" s="2" t="s">
        <v>465</v>
      </c>
      <c r="B41" s="2">
        <v>380</v>
      </c>
      <c r="C41" s="2">
        <v>24</v>
      </c>
      <c r="D41" s="2" t="s">
        <v>404</v>
      </c>
      <c r="E41" s="2" t="s">
        <v>405</v>
      </c>
      <c r="F41" s="2" t="s">
        <v>147</v>
      </c>
      <c r="G41" s="4"/>
      <c r="H41" s="4"/>
      <c r="I41" s="4">
        <v>0.375</v>
      </c>
      <c r="J41" s="4"/>
      <c r="K41" s="4"/>
      <c r="L41" s="4"/>
      <c r="M41" s="2"/>
      <c r="N41" s="2"/>
      <c r="O41" s="2" t="s">
        <v>466</v>
      </c>
      <c r="P41" s="4"/>
      <c r="Q41" s="4"/>
      <c r="R41" s="4"/>
      <c r="S41" s="4"/>
      <c r="T41" s="4"/>
      <c r="U41" s="4"/>
      <c r="V41" s="2"/>
      <c r="W41" s="2"/>
      <c r="X41" s="4"/>
      <c r="Y41" s="4"/>
      <c r="Z41" s="4">
        <v>0.16</v>
      </c>
      <c r="AA41" s="4"/>
      <c r="AB41" s="4"/>
      <c r="AC41" s="4"/>
      <c r="AD41" s="4"/>
      <c r="AE41" s="4"/>
      <c r="AF41" s="4"/>
      <c r="AG41" s="4"/>
      <c r="AH41" s="4"/>
    </row>
    <row r="42" s="2" customFormat="1" spans="1:34">
      <c r="A42" s="2" t="s">
        <v>467</v>
      </c>
      <c r="B42" s="2">
        <v>512</v>
      </c>
      <c r="C42" s="2">
        <v>33</v>
      </c>
      <c r="D42" s="2" t="s">
        <v>360</v>
      </c>
      <c r="E42" s="8" t="s">
        <v>380</v>
      </c>
      <c r="F42" s="2" t="s">
        <v>154</v>
      </c>
      <c r="G42" s="4"/>
      <c r="H42" s="4"/>
      <c r="I42" s="4">
        <v>0.275</v>
      </c>
      <c r="J42" s="4"/>
      <c r="K42" s="4"/>
      <c r="L42" s="4"/>
      <c r="O42" s="2" t="s">
        <v>468</v>
      </c>
      <c r="P42" s="4"/>
      <c r="Q42" s="13">
        <v>0.4</v>
      </c>
      <c r="R42" s="4"/>
      <c r="S42" s="4"/>
      <c r="T42" s="4"/>
      <c r="U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="2" customFormat="1" spans="1:34">
      <c r="A43" s="2" t="s">
        <v>469</v>
      </c>
      <c r="B43" s="2">
        <v>512</v>
      </c>
      <c r="C43" s="2">
        <v>33</v>
      </c>
      <c r="D43" s="2" t="s">
        <v>360</v>
      </c>
      <c r="E43" s="8" t="s">
        <v>380</v>
      </c>
      <c r="F43" s="2" t="s">
        <v>154</v>
      </c>
      <c r="G43" s="4"/>
      <c r="H43" s="4"/>
      <c r="I43" s="4">
        <v>0.275</v>
      </c>
      <c r="J43" s="4"/>
      <c r="K43" s="4"/>
      <c r="L43" s="4"/>
      <c r="O43" s="2" t="s">
        <v>470</v>
      </c>
      <c r="P43" s="4"/>
      <c r="Q43" s="13">
        <v>0.72</v>
      </c>
      <c r="R43" s="4"/>
      <c r="S43" s="4"/>
      <c r="T43" s="4"/>
      <c r="U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="2" customFormat="1" spans="1:34">
      <c r="A44" s="2" t="s">
        <v>155</v>
      </c>
      <c r="B44" s="2">
        <v>666</v>
      </c>
      <c r="C44" s="2">
        <v>43</v>
      </c>
      <c r="D44" s="2" t="s">
        <v>360</v>
      </c>
      <c r="E44" s="2" t="s">
        <v>471</v>
      </c>
      <c r="F44" s="2" t="s">
        <v>154</v>
      </c>
      <c r="G44" s="4">
        <v>0.12</v>
      </c>
      <c r="H44" s="4"/>
      <c r="I44" s="4"/>
      <c r="J44" s="4"/>
      <c r="K44" s="4"/>
      <c r="L44" s="4"/>
      <c r="M44" s="2"/>
      <c r="N44" s="2"/>
      <c r="O44" s="2" t="s">
        <v>472</v>
      </c>
      <c r="P44" s="4"/>
      <c r="Q44" s="4">
        <f>12%*4</f>
        <v>0.48</v>
      </c>
      <c r="R44" s="4"/>
      <c r="S44" s="4"/>
      <c r="T44" s="4"/>
      <c r="U44" s="4"/>
      <c r="V44" s="2"/>
      <c r="W44" s="2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="2" customFormat="1" spans="1:34">
      <c r="A45" s="2" t="s">
        <v>168</v>
      </c>
      <c r="B45" s="2">
        <v>424</v>
      </c>
      <c r="C45" s="2">
        <v>31</v>
      </c>
      <c r="D45" s="2" t="s">
        <v>360</v>
      </c>
      <c r="E45" s="14" t="s">
        <v>473</v>
      </c>
      <c r="F45" s="2" t="s">
        <v>154</v>
      </c>
      <c r="G45" s="4"/>
      <c r="H45" s="4"/>
      <c r="I45" s="4"/>
      <c r="J45" s="4">
        <v>0.4125</v>
      </c>
      <c r="K45" s="4"/>
      <c r="L45" s="4"/>
      <c r="M45" s="2"/>
      <c r="N45" s="2"/>
      <c r="O45" s="2" t="s">
        <v>474</v>
      </c>
      <c r="P45" s="4"/>
      <c r="Q45" s="4"/>
      <c r="R45" s="4"/>
      <c r="S45" s="4">
        <v>0.25</v>
      </c>
      <c r="T45" s="4"/>
      <c r="U45" s="4"/>
      <c r="V45" s="2"/>
      <c r="W45" s="2"/>
      <c r="X45" s="4"/>
      <c r="Y45" s="4"/>
      <c r="Z45" s="4"/>
      <c r="AA45" s="4"/>
      <c r="AB45" s="4"/>
      <c r="AC45" s="4">
        <v>0.2</v>
      </c>
      <c r="AD45" s="4"/>
      <c r="AE45" s="4"/>
      <c r="AF45" s="4"/>
      <c r="AG45" s="4"/>
      <c r="AH45" s="4"/>
    </row>
    <row r="46" s="2" customFormat="1" spans="1:34">
      <c r="A46" s="2" t="s">
        <v>475</v>
      </c>
      <c r="B46" s="2">
        <v>475</v>
      </c>
      <c r="C46" s="2">
        <v>31</v>
      </c>
      <c r="D46" s="2" t="s">
        <v>361</v>
      </c>
      <c r="E46" s="2" t="s">
        <v>476</v>
      </c>
      <c r="F46" s="2" t="s">
        <v>154</v>
      </c>
      <c r="G46" s="4"/>
      <c r="H46" s="4"/>
      <c r="I46" s="4"/>
      <c r="J46" s="4"/>
      <c r="K46" s="4"/>
      <c r="L46" s="4"/>
      <c r="N46" s="2">
        <v>120</v>
      </c>
      <c r="O46" s="11" t="s">
        <v>477</v>
      </c>
      <c r="P46" s="4"/>
      <c r="Q46" s="4"/>
      <c r="R46" s="4"/>
      <c r="S46" s="4"/>
      <c r="T46" s="4"/>
      <c r="U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="2" customFormat="1" spans="1:34">
      <c r="A47" s="2" t="s">
        <v>478</v>
      </c>
      <c r="B47" s="2">
        <v>395</v>
      </c>
      <c r="C47" s="2">
        <v>25</v>
      </c>
      <c r="D47" s="2" t="s">
        <v>361</v>
      </c>
      <c r="E47" s="2" t="s">
        <v>479</v>
      </c>
      <c r="F47" s="2" t="s">
        <v>154</v>
      </c>
      <c r="G47" s="4"/>
      <c r="H47" s="4"/>
      <c r="I47" s="4"/>
      <c r="J47" s="4"/>
      <c r="K47" s="4">
        <v>0.525</v>
      </c>
      <c r="L47" s="4"/>
      <c r="O47" s="2" t="s">
        <v>480</v>
      </c>
      <c r="P47" s="4"/>
      <c r="Q47" s="4"/>
      <c r="R47" s="4">
        <v>0.3</v>
      </c>
      <c r="S47" s="4"/>
      <c r="T47" s="4"/>
      <c r="U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="2" customFormat="1" spans="1:34">
      <c r="A48" s="2" t="s">
        <v>481</v>
      </c>
      <c r="B48" s="2">
        <v>475</v>
      </c>
      <c r="C48" s="2">
        <v>31</v>
      </c>
      <c r="D48" s="2" t="s">
        <v>361</v>
      </c>
      <c r="E48" s="2" t="s">
        <v>482</v>
      </c>
      <c r="F48" s="2" t="s">
        <v>154</v>
      </c>
      <c r="G48" s="4"/>
      <c r="H48" s="4"/>
      <c r="I48" s="4"/>
      <c r="J48" s="4">
        <v>0.25</v>
      </c>
      <c r="K48" s="4"/>
      <c r="L48" s="4"/>
      <c r="O48" s="2" t="s">
        <v>483</v>
      </c>
      <c r="P48" s="4"/>
      <c r="Q48" s="4"/>
      <c r="R48" s="4"/>
      <c r="S48" s="4"/>
      <c r="T48" s="4">
        <v>0.46</v>
      </c>
      <c r="U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="2" customFormat="1" spans="1:34">
      <c r="A49" s="2" t="s">
        <v>159</v>
      </c>
      <c r="B49" s="2">
        <v>395</v>
      </c>
      <c r="C49" s="2">
        <v>25</v>
      </c>
      <c r="D49" s="2" t="s">
        <v>361</v>
      </c>
      <c r="E49" s="2" t="s">
        <v>484</v>
      </c>
      <c r="F49" s="2" t="s">
        <v>154</v>
      </c>
      <c r="G49" s="4"/>
      <c r="H49" s="4"/>
      <c r="I49" s="4"/>
      <c r="J49" s="4"/>
      <c r="K49" s="4">
        <v>0.525</v>
      </c>
      <c r="L49" s="4"/>
      <c r="M49" s="2"/>
      <c r="N49" s="2"/>
      <c r="O49" s="2" t="s">
        <v>485</v>
      </c>
      <c r="P49" s="4"/>
      <c r="Q49" s="4"/>
      <c r="R49" s="4"/>
      <c r="S49" s="4">
        <v>0.18</v>
      </c>
      <c r="T49" s="4"/>
      <c r="U49" s="4"/>
      <c r="V49" s="2"/>
      <c r="W49" s="2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>
        <v>0.18</v>
      </c>
    </row>
    <row r="50" s="2" customFormat="1" spans="1:34">
      <c r="A50" s="2" t="s">
        <v>486</v>
      </c>
      <c r="B50" s="2">
        <v>475</v>
      </c>
      <c r="C50" s="2">
        <v>31</v>
      </c>
      <c r="D50" s="2" t="s">
        <v>361</v>
      </c>
      <c r="E50" s="2" t="s">
        <v>487</v>
      </c>
      <c r="F50" s="2" t="s">
        <v>154</v>
      </c>
      <c r="G50" s="4">
        <v>0.2</v>
      </c>
      <c r="H50" s="4"/>
      <c r="I50" s="4"/>
      <c r="J50" s="4"/>
      <c r="K50" s="4"/>
      <c r="L50" s="4"/>
      <c r="O50" s="2" t="s">
        <v>488</v>
      </c>
      <c r="P50" s="4"/>
      <c r="Q50" s="4"/>
      <c r="R50" s="4">
        <v>0.18</v>
      </c>
      <c r="S50" s="4">
        <v>0.18</v>
      </c>
      <c r="T50" s="4">
        <v>0.18</v>
      </c>
      <c r="U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="2" customFormat="1" spans="1:34">
      <c r="A51" s="2" t="s">
        <v>489</v>
      </c>
      <c r="B51" s="2">
        <v>380</v>
      </c>
      <c r="C51" s="2">
        <v>24</v>
      </c>
      <c r="D51" s="2" t="s">
        <v>404</v>
      </c>
      <c r="E51" s="2" t="s">
        <v>405</v>
      </c>
      <c r="F51" s="2" t="s">
        <v>154</v>
      </c>
      <c r="G51" s="4">
        <v>0.2</v>
      </c>
      <c r="H51" s="4"/>
      <c r="I51" s="4"/>
      <c r="J51" s="4"/>
      <c r="K51" s="4"/>
      <c r="L51" s="4"/>
      <c r="M51" s="2"/>
      <c r="N51" s="2">
        <v>96</v>
      </c>
      <c r="O51" s="2" t="s">
        <v>490</v>
      </c>
      <c r="P51" s="4"/>
      <c r="Q51" s="4"/>
      <c r="R51" s="4"/>
      <c r="S51" s="4"/>
      <c r="T51" s="4"/>
      <c r="U51" s="4"/>
      <c r="V51" s="2"/>
      <c r="W51" s="2">
        <v>84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zoomScale="110" zoomScaleNormal="110" workbookViewId="0">
      <selection activeCell="J18" sqref="J18"/>
    </sheetView>
  </sheetViews>
  <sheetFormatPr defaultColWidth="9.23076923076923" defaultRowHeight="16.8"/>
  <cols>
    <col min="1" max="1" width="16.4519230769231" style="2" customWidth="1"/>
    <col min="2" max="9" width="9.23076923076923" style="2"/>
    <col min="10" max="10" width="48.6538461538462" style="2" customWidth="1"/>
    <col min="11" max="16384" width="9.23076923076923" style="2"/>
  </cols>
  <sheetData>
    <row r="1" s="2" customFormat="1" spans="1:22">
      <c r="A1" s="2">
        <f t="shared" ref="A1:H1" si="0">COLUMN()</f>
        <v>1</v>
      </c>
      <c r="B1" s="2">
        <f t="shared" si="0"/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ref="I1:V1" si="1">COLUMN()</f>
        <v>9</v>
      </c>
      <c r="J1" s="2">
        <f t="shared" si="1"/>
        <v>10</v>
      </c>
      <c r="K1" s="2">
        <f t="shared" si="1"/>
        <v>11</v>
      </c>
      <c r="L1" s="2">
        <f t="shared" si="1"/>
        <v>12</v>
      </c>
      <c r="M1" s="2">
        <f t="shared" si="1"/>
        <v>13</v>
      </c>
      <c r="N1" s="2">
        <f t="shared" si="1"/>
        <v>14</v>
      </c>
      <c r="O1" s="2">
        <f t="shared" si="1"/>
        <v>15</v>
      </c>
      <c r="P1" s="2">
        <f t="shared" si="1"/>
        <v>16</v>
      </c>
      <c r="Q1" s="2">
        <f t="shared" si="1"/>
        <v>17</v>
      </c>
      <c r="R1" s="2">
        <f t="shared" si="1"/>
        <v>18</v>
      </c>
      <c r="S1" s="2">
        <f t="shared" si="1"/>
        <v>19</v>
      </c>
      <c r="T1" s="2">
        <f t="shared" si="1"/>
        <v>20</v>
      </c>
      <c r="U1" s="2">
        <f t="shared" si="1"/>
        <v>21</v>
      </c>
      <c r="V1" s="2">
        <f t="shared" si="1"/>
        <v>22</v>
      </c>
    </row>
    <row r="2" s="2" customFormat="1" spans="1:22">
      <c r="A2" s="2" t="s">
        <v>101</v>
      </c>
      <c r="B2" s="2" t="s">
        <v>186</v>
      </c>
      <c r="C2" s="2" t="s">
        <v>132</v>
      </c>
      <c r="D2" s="2" t="s">
        <v>146</v>
      </c>
      <c r="E2" s="2" t="s">
        <v>161</v>
      </c>
      <c r="F2" s="2" t="s">
        <v>347</v>
      </c>
      <c r="G2" s="2" t="s">
        <v>131</v>
      </c>
      <c r="H2" s="2" t="s">
        <v>348</v>
      </c>
      <c r="I2" s="2" t="s">
        <v>491</v>
      </c>
      <c r="J2" s="2" t="s">
        <v>100</v>
      </c>
      <c r="K2" s="2" t="s">
        <v>178</v>
      </c>
      <c r="L2" s="2" t="s">
        <v>179</v>
      </c>
      <c r="M2" s="2" t="s">
        <v>135</v>
      </c>
      <c r="N2" s="2" t="s">
        <v>187</v>
      </c>
      <c r="O2" s="2" t="s">
        <v>132</v>
      </c>
      <c r="P2" s="2" t="s">
        <v>146</v>
      </c>
      <c r="Q2" s="2" t="s">
        <v>349</v>
      </c>
      <c r="R2" s="2" t="s">
        <v>136</v>
      </c>
      <c r="S2" s="2" t="s">
        <v>369</v>
      </c>
      <c r="T2" s="2" t="s">
        <v>370</v>
      </c>
      <c r="U2" s="2" t="s">
        <v>371</v>
      </c>
      <c r="V2" s="2" t="s">
        <v>491</v>
      </c>
    </row>
    <row r="3" s="2" customFormat="1" ht="17" spans="1:22">
      <c r="A3" s="2" t="s">
        <v>130</v>
      </c>
      <c r="B3" s="4">
        <v>0.1</v>
      </c>
      <c r="C3" s="4"/>
      <c r="D3" s="4"/>
      <c r="E3" s="4"/>
      <c r="F3" s="4"/>
      <c r="G3" s="2"/>
      <c r="H3" s="4"/>
      <c r="I3" s="4"/>
      <c r="J3" s="2" t="s">
        <v>492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="2" customFormat="1" spans="1:22">
      <c r="A4" s="2" t="s">
        <v>164</v>
      </c>
      <c r="B4" s="4">
        <v>0.1</v>
      </c>
      <c r="C4" s="4"/>
      <c r="D4" s="4"/>
      <c r="E4" s="4"/>
      <c r="F4" s="4"/>
      <c r="G4" s="2"/>
      <c r="H4" s="4"/>
      <c r="I4" s="4"/>
      <c r="J4" s="2" t="s">
        <v>493</v>
      </c>
      <c r="K4" s="4"/>
      <c r="L4" s="4">
        <v>0.12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="2" customFormat="1" spans="1:22">
      <c r="A5" s="2" t="s">
        <v>494</v>
      </c>
      <c r="B5" s="4">
        <v>0.1</v>
      </c>
      <c r="C5" s="4"/>
      <c r="D5" s="4"/>
      <c r="E5" s="4"/>
      <c r="F5" s="4"/>
      <c r="G5" s="2"/>
      <c r="H5" s="4"/>
      <c r="I5" s="4"/>
      <c r="J5" s="2" t="s">
        <v>495</v>
      </c>
      <c r="K5" s="4"/>
      <c r="L5" s="4"/>
      <c r="M5" s="4"/>
      <c r="N5" s="4"/>
      <c r="O5" s="4"/>
      <c r="P5" s="4"/>
      <c r="Q5" s="4">
        <v>0.36</v>
      </c>
      <c r="S5" s="4"/>
      <c r="T5" s="4"/>
      <c r="U5" s="4"/>
      <c r="V5" s="4"/>
    </row>
    <row r="6" s="2" customFormat="1" spans="1:22">
      <c r="A6" s="2" t="s">
        <v>173</v>
      </c>
      <c r="B6" s="4">
        <v>0.1</v>
      </c>
      <c r="C6" s="4"/>
      <c r="D6" s="4"/>
      <c r="E6" s="4"/>
      <c r="F6" s="4"/>
      <c r="G6" s="2"/>
      <c r="H6" s="4"/>
      <c r="I6" s="4"/>
      <c r="J6" s="2" t="s">
        <v>496</v>
      </c>
      <c r="K6" s="4"/>
      <c r="L6" s="4"/>
      <c r="M6" s="4">
        <v>0.28</v>
      </c>
      <c r="N6" s="4"/>
      <c r="O6" s="4"/>
      <c r="P6" s="4"/>
      <c r="Q6" s="4"/>
      <c r="R6" s="4"/>
      <c r="S6" s="4"/>
      <c r="T6" s="4"/>
      <c r="U6" s="4"/>
      <c r="V6" s="4"/>
    </row>
    <row r="7" s="2" customFormat="1" spans="1:22">
      <c r="A7" s="2" t="s">
        <v>149</v>
      </c>
      <c r="B7" s="4">
        <v>0.1</v>
      </c>
      <c r="C7" s="4"/>
      <c r="D7" s="4"/>
      <c r="E7" s="4"/>
      <c r="F7" s="4"/>
      <c r="G7" s="2"/>
      <c r="H7" s="4"/>
      <c r="I7" s="4"/>
      <c r="J7" s="2" t="s">
        <v>497</v>
      </c>
      <c r="K7" s="4"/>
      <c r="L7" s="4"/>
      <c r="M7" s="4"/>
      <c r="N7" s="4">
        <v>0.56</v>
      </c>
      <c r="O7" s="4"/>
      <c r="P7" s="4"/>
      <c r="Q7" s="4"/>
      <c r="R7" s="4"/>
      <c r="S7" s="4"/>
      <c r="T7" s="4"/>
      <c r="U7" s="4"/>
      <c r="V7" s="4"/>
    </row>
    <row r="8" s="2" customFormat="1" spans="1:22">
      <c r="A8" s="2" t="s">
        <v>156</v>
      </c>
      <c r="B8" s="4">
        <v>0.1</v>
      </c>
      <c r="C8" s="4"/>
      <c r="D8" s="4"/>
      <c r="E8" s="4"/>
      <c r="F8" s="4"/>
      <c r="G8" s="2"/>
      <c r="H8" s="4"/>
      <c r="I8" s="4"/>
      <c r="J8" s="2" t="s">
        <v>498</v>
      </c>
      <c r="K8" s="4"/>
      <c r="L8" s="4"/>
      <c r="M8" s="4"/>
      <c r="N8" s="4"/>
      <c r="O8" s="4">
        <f>6%*6</f>
        <v>0.36</v>
      </c>
      <c r="P8" s="4"/>
      <c r="Q8" s="4"/>
      <c r="R8" s="4"/>
      <c r="S8" s="4"/>
      <c r="T8" s="4"/>
      <c r="U8" s="4"/>
      <c r="V8" s="4"/>
    </row>
    <row r="9" s="2" customFormat="1" spans="1:22">
      <c r="A9" s="2" t="s">
        <v>144</v>
      </c>
      <c r="B9" s="4"/>
      <c r="C9" s="4"/>
      <c r="D9" s="4">
        <v>0.1</v>
      </c>
      <c r="E9" s="4"/>
      <c r="F9" s="4"/>
      <c r="G9" s="2"/>
      <c r="H9" s="4"/>
      <c r="I9" s="4"/>
      <c r="J9" s="2" t="s">
        <v>499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="2" customFormat="1" spans="1:22">
      <c r="A10" s="2" t="s">
        <v>160</v>
      </c>
      <c r="B10" s="4"/>
      <c r="C10" s="4"/>
      <c r="D10" s="4"/>
      <c r="E10" s="4">
        <v>0.15</v>
      </c>
      <c r="F10" s="4"/>
      <c r="G10" s="2"/>
      <c r="H10" s="4"/>
      <c r="I10" s="4"/>
      <c r="J10" s="2" t="s">
        <v>500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="2" customFormat="1" ht="17" spans="1:22">
      <c r="A11" s="2" t="s">
        <v>70</v>
      </c>
      <c r="B11" s="4"/>
      <c r="C11" s="4"/>
      <c r="D11" s="4"/>
      <c r="E11" s="4"/>
      <c r="F11" s="4">
        <v>0.12</v>
      </c>
      <c r="G11" s="2"/>
      <c r="H11" s="4"/>
      <c r="I11" s="4"/>
      <c r="J11" s="2" t="s">
        <v>501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="2" customFormat="1" spans="1:22">
      <c r="A12" s="2" t="s">
        <v>502</v>
      </c>
      <c r="B12" s="4"/>
      <c r="C12" s="4"/>
      <c r="D12" s="4"/>
      <c r="E12" s="4"/>
      <c r="F12" s="4"/>
      <c r="G12" s="2"/>
      <c r="H12" s="4"/>
      <c r="I12" s="4">
        <v>0.1</v>
      </c>
      <c r="J12" s="2" t="s">
        <v>503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f>12%*3</f>
        <v>0.36</v>
      </c>
    </row>
    <row r="13" s="2" customFormat="1" spans="1:22">
      <c r="A13" s="2" t="s">
        <v>504</v>
      </c>
      <c r="B13" s="4"/>
      <c r="C13" s="4">
        <v>0.1</v>
      </c>
      <c r="D13" s="4"/>
      <c r="E13" s="4"/>
      <c r="F13" s="4"/>
      <c r="G13" s="2"/>
      <c r="H13" s="4"/>
      <c r="I13" s="4"/>
      <c r="J13" s="2" t="s">
        <v>505</v>
      </c>
      <c r="K13" s="4"/>
      <c r="L13" s="4"/>
      <c r="M13" s="4"/>
      <c r="N13" s="4"/>
      <c r="O13" s="4">
        <v>0.25</v>
      </c>
      <c r="P13" s="4"/>
      <c r="Q13" s="4"/>
      <c r="R13" s="4"/>
      <c r="S13" s="4"/>
      <c r="T13" s="4"/>
      <c r="U13" s="4"/>
      <c r="V13" s="4"/>
    </row>
    <row r="14" s="2" customFormat="1" spans="1:22">
      <c r="A14" s="2" t="s">
        <v>506</v>
      </c>
      <c r="B14" s="4"/>
      <c r="C14" s="4"/>
      <c r="D14" s="4">
        <v>0.1</v>
      </c>
      <c r="E14" s="4"/>
      <c r="F14" s="4"/>
      <c r="G14" s="2"/>
      <c r="H14" s="4"/>
      <c r="I14" s="4"/>
      <c r="J14" s="2" t="s">
        <v>507</v>
      </c>
      <c r="K14" s="4"/>
      <c r="L14" s="4"/>
      <c r="M14" s="4"/>
      <c r="N14" s="4"/>
      <c r="O14" s="4"/>
      <c r="P14" s="4">
        <v>0.4</v>
      </c>
      <c r="Q14" s="4"/>
      <c r="R14" s="4"/>
      <c r="S14" s="4"/>
      <c r="T14" s="4"/>
      <c r="U14" s="4"/>
      <c r="V14" s="4"/>
    </row>
    <row r="15" s="2" customFormat="1" spans="1:22"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R30"/>
  <sheetViews>
    <sheetView zoomScale="80" zoomScaleNormal="80" workbookViewId="0">
      <selection activeCell="I17" sqref="I17"/>
    </sheetView>
  </sheetViews>
  <sheetFormatPr defaultColWidth="9.29807692307692" defaultRowHeight="16.8"/>
  <cols>
    <col min="1" max="1" width="9.29807692307692" style="2"/>
    <col min="2" max="214" width="9.29807692307692" style="2" customWidth="1"/>
    <col min="215" max="215" width="12.6346153846154" style="2"/>
    <col min="216" max="218" width="9.61538461538461" style="2"/>
    <col min="219" max="219" width="15.2692307692308" style="2"/>
    <col min="220" max="221" width="9.29807692307692" style="2"/>
    <col min="222" max="223" width="9.61538461538461" style="2"/>
    <col min="224" max="226" width="9.29807692307692" style="2"/>
    <col min="227" max="227" width="10" style="2"/>
    <col min="228" max="228" width="15.2692307692308" style="2"/>
    <col min="229" max="231" width="9.61538461538461" style="2"/>
    <col min="232" max="232" width="15.2692307692308" style="2"/>
    <col min="233" max="235" width="9.61538461538461" style="2"/>
    <col min="236" max="236" width="15.2692307692308" style="2"/>
    <col min="237" max="237" width="9.29807692307692" style="2"/>
    <col min="238" max="240" width="9.61538461538461" style="2"/>
    <col min="241" max="241" width="9.29807692307692" style="2"/>
    <col min="242" max="242" width="15.2692307692308" style="2"/>
    <col min="243" max="243" width="11" style="2"/>
    <col min="244" max="244" width="12.6346153846154" style="2"/>
    <col min="245" max="247" width="9.61538461538461" style="2"/>
    <col min="248" max="248" width="15.2692307692308" style="2"/>
    <col min="249" max="250" width="9.29807692307692" style="2"/>
    <col min="251" max="252" width="9.61538461538461" style="2"/>
    <col min="253" max="255" width="9.29807692307692" style="2"/>
    <col min="256" max="256" width="9.61538461538461" style="2"/>
    <col min="257" max="257" width="15.2692307692308" style="2"/>
    <col min="258" max="260" width="9.61538461538461" style="2"/>
    <col min="261" max="261" width="15.2692307692308" style="2"/>
    <col min="262" max="264" width="9.61538461538461" style="2"/>
    <col min="265" max="265" width="15.2692307692308" style="2"/>
    <col min="266" max="266" width="9.29807692307692" style="2"/>
    <col min="267" max="269" width="9.61538461538461" style="2"/>
    <col min="270" max="270" width="9.29807692307692" style="2"/>
    <col min="271" max="271" width="15.2692307692308" style="2"/>
    <col min="272" max="272" width="11" style="2"/>
    <col min="273" max="273" width="12.6346153846154" style="2"/>
    <col min="274" max="276" width="9.61538461538461" style="2"/>
    <col min="277" max="277" width="15.2692307692308" style="2"/>
    <col min="278" max="278" width="9.29807692307692" style="2"/>
    <col min="279" max="279" width="15.2692307692308" style="2"/>
    <col min="280" max="281" width="9.61538461538461" style="2"/>
    <col min="282" max="284" width="9.29807692307692" style="2"/>
    <col min="285" max="285" width="11.2692307692308" style="2"/>
    <col min="286" max="286" width="15.2692307692308" style="2"/>
    <col min="287" max="289" width="9.61538461538461" style="2"/>
    <col min="290" max="290" width="15.2692307692308" style="2"/>
    <col min="291" max="293" width="9.61538461538461" style="2"/>
    <col min="294" max="294" width="15.2692307692308" style="2"/>
    <col min="295" max="295" width="9.29807692307692" style="2"/>
    <col min="296" max="298" width="9.61538461538461" style="2"/>
    <col min="299" max="299" width="9.29807692307692" style="2"/>
    <col min="300" max="300" width="15.2692307692308" style="2"/>
    <col min="301" max="301" width="11" style="2"/>
    <col min="302" max="302" width="12.6346153846154" style="2"/>
    <col min="303" max="305" width="9.61538461538461" style="2"/>
    <col min="306" max="306" width="15.2692307692308" style="2"/>
    <col min="307" max="307" width="9.29807692307692" style="2"/>
    <col min="308" max="308" width="15.2692307692308" style="2"/>
    <col min="309" max="309" width="9.61538461538461" style="2"/>
    <col min="310" max="310" width="11.2692307692308" style="2"/>
    <col min="311" max="313" width="9.29807692307692" style="2"/>
    <col min="314" max="314" width="9.61538461538461" style="2"/>
    <col min="315" max="315" width="15.2692307692308" style="2"/>
    <col min="316" max="318" width="9.61538461538461" style="2"/>
    <col min="319" max="319" width="15.2692307692308" style="2"/>
    <col min="320" max="322" width="9.61538461538461" style="2"/>
    <col min="323" max="323" width="15.2692307692308" style="2"/>
    <col min="324" max="324" width="9.29807692307692" style="2"/>
    <col min="325" max="327" width="9.61538461538461" style="2"/>
    <col min="328" max="328" width="9.29807692307692" style="2"/>
    <col min="329" max="329" width="15.2692307692308" style="2"/>
    <col min="330" max="330" width="11" style="2"/>
    <col min="331" max="331" width="12.6346153846154" style="2"/>
    <col min="332" max="334" width="9.61538461538461" style="2"/>
    <col min="335" max="335" width="15.2692307692308" style="2"/>
    <col min="336" max="336" width="9.29807692307692" style="2"/>
    <col min="337" max="337" width="15.2692307692308" style="2"/>
    <col min="338" max="339" width="9.61538461538461" style="2"/>
    <col min="340" max="342" width="9.29807692307692" style="2"/>
    <col min="343" max="343" width="9.61538461538461" style="2"/>
    <col min="344" max="344" width="15.2692307692308" style="2"/>
    <col min="345" max="347" width="9.61538461538461" style="2"/>
    <col min="348" max="348" width="15.2692307692308" style="2"/>
    <col min="349" max="351" width="9.61538461538461" style="2"/>
    <col min="352" max="352" width="15.2692307692308" style="2"/>
    <col min="353" max="353" width="9.29807692307692" style="2"/>
    <col min="354" max="356" width="9.61538461538461" style="2"/>
    <col min="357" max="357" width="9.29807692307692" style="2"/>
    <col min="358" max="358" width="15.3846153846154" style="2"/>
    <col min="359" max="359" width="11" style="2"/>
    <col min="360" max="360" width="13.9230769230769" style="2"/>
    <col min="361" max="363" width="9.61538461538461" style="2"/>
    <col min="364" max="364" width="16.8461538461538" style="2"/>
    <col min="365" max="366" width="9.29807692307692" style="2"/>
    <col min="367" max="369" width="9.61538461538461" style="2"/>
    <col min="370" max="370" width="12.4615384615385" style="2"/>
    <col min="371" max="371" width="9.61538461538461" style="2"/>
    <col min="372" max="372" width="12.4615384615385" style="2"/>
    <col min="373" max="373" width="15.2692307692308" style="2"/>
    <col min="374" max="376" width="9.61538461538461" style="2"/>
    <col min="377" max="377" width="16.8461538461538" style="2"/>
    <col min="378" max="378" width="9.61538461538461" style="2"/>
    <col min="379" max="381" width="16.8461538461538" style="2"/>
    <col min="382" max="382" width="9.29807692307692" style="2"/>
    <col min="383" max="384" width="9.61538461538461" style="2"/>
    <col min="385" max="386" width="9.29807692307692" style="2"/>
    <col min="387" max="387" width="15.2692307692308" style="2"/>
    <col min="388" max="388" width="11" style="2"/>
    <col min="389" max="389" width="12.6346153846154" style="2"/>
    <col min="390" max="392" width="9.61538461538461" style="2"/>
    <col min="393" max="393" width="15.2692307692308" style="2"/>
    <col min="394" max="395" width="9.29807692307692" style="2"/>
    <col min="396" max="397" width="9.61538461538461" style="2"/>
    <col min="398" max="399" width="9.29807692307692" style="2"/>
    <col min="400" max="401" width="9.61538461538461" style="2"/>
    <col min="402" max="402" width="15.2692307692308" style="2"/>
    <col min="403" max="405" width="9.61538461538461" style="2"/>
    <col min="406" max="406" width="15.2692307692308" style="2"/>
    <col min="407" max="409" width="9.61538461538461" style="2"/>
    <col min="410" max="410" width="15.2692307692308" style="2"/>
    <col min="411" max="411" width="9.29807692307692" style="2"/>
    <col min="412" max="414" width="9.61538461538461" style="2"/>
    <col min="415" max="415" width="9.29807692307692" style="2"/>
    <col min="416" max="416" width="15.2692307692308" style="2"/>
    <col min="417" max="417" width="10" style="2"/>
    <col min="418" max="418" width="12.6346153846154" style="2"/>
    <col min="419" max="421" width="9.61538461538461" style="2"/>
    <col min="422" max="422" width="15.2692307692308" style="2"/>
    <col min="423" max="424" width="9.29807692307692" style="2"/>
    <col min="425" max="426" width="9.61538461538461" style="2"/>
    <col min="427" max="428" width="9.29807692307692" style="2"/>
    <col min="429" max="430" width="9.61538461538461" style="2"/>
    <col min="431" max="431" width="15.2692307692308" style="2"/>
    <col min="432" max="434" width="9.61538461538461" style="2"/>
    <col min="435" max="435" width="15.2692307692308" style="2"/>
    <col min="436" max="438" width="9.61538461538461" style="2"/>
    <col min="439" max="439" width="15.2692307692308" style="2"/>
    <col min="440" max="440" width="9.29807692307692" style="2"/>
    <col min="441" max="443" width="9.61538461538461" style="2"/>
    <col min="444" max="444" width="9.29807692307692" style="2"/>
    <col min="445" max="445" width="15.3846153846154" style="2"/>
    <col min="446" max="446" width="11" style="2"/>
    <col min="447" max="447" width="13.9230769230769" style="2"/>
    <col min="448" max="450" width="9.61538461538461" style="2"/>
    <col min="451" max="451" width="15.2692307692308" style="2"/>
    <col min="452" max="453" width="9.29807692307692" style="2"/>
    <col min="454" max="459" width="9.61538461538461" style="2"/>
    <col min="460" max="460" width="15.2692307692308" style="2"/>
    <col min="461" max="463" width="9.61538461538461" style="2"/>
    <col min="464" max="464" width="16.8461538461538" style="2"/>
    <col min="465" max="465" width="9.61538461538461" style="2"/>
    <col min="466" max="468" width="16.8461538461538" style="2"/>
    <col min="469" max="469" width="9.29807692307692" style="2"/>
    <col min="470" max="472" width="9.61538461538461" style="2"/>
    <col min="473" max="473" width="9.29807692307692" style="2"/>
    <col min="474" max="474" width="15.2692307692308" style="2"/>
    <col min="475" max="475" width="10" style="2"/>
    <col min="476" max="476" width="12.6346153846154" style="2"/>
    <col min="477" max="479" width="9.61538461538461" style="2"/>
    <col min="480" max="480" width="16.8461538461538" style="2"/>
    <col min="481" max="482" width="9.29807692307692" style="2"/>
    <col min="483" max="484" width="9.61538461538461" style="2"/>
    <col min="485" max="486" width="9.29807692307692" style="2"/>
    <col min="487" max="488" width="9.61538461538461" style="2"/>
    <col min="489" max="489" width="15.2692307692308" style="2"/>
    <col min="490" max="492" width="9.61538461538461" style="2"/>
    <col min="493" max="493" width="15.2692307692308" style="2"/>
    <col min="494" max="496" width="9.61538461538461" style="2"/>
    <col min="497" max="497" width="15.2692307692308" style="2"/>
    <col min="498" max="498" width="9.29807692307692" style="2"/>
    <col min="499" max="500" width="9.61538461538461" style="2"/>
    <col min="501" max="502" width="9.29807692307692" style="2"/>
    <col min="503" max="503" width="15.2692307692308" style="2"/>
    <col min="504" max="504" width="10" style="2"/>
    <col min="505" max="505" width="12.6346153846154" style="2"/>
    <col min="506" max="508" width="9.29807692307692" style="2"/>
    <col min="509" max="509" width="15.2692307692308" style="2"/>
    <col min="510" max="517" width="9.29807692307692" style="2"/>
    <col min="518" max="518" width="15.2692307692308" style="2"/>
    <col min="519" max="521" width="9.29807692307692" style="2"/>
    <col min="522" max="522" width="15.2692307692308" style="2"/>
    <col min="523" max="525" width="9.29807692307692" style="2"/>
    <col min="526" max="526" width="15.2692307692308" style="2"/>
    <col min="527" max="531" width="9.29807692307692" style="2"/>
    <col min="532" max="532" width="15.2692307692308" style="2"/>
    <col min="533" max="533" width="10" style="2"/>
    <col min="534" max="534" width="12.6346153846154" style="2"/>
    <col min="535" max="537" width="9.29807692307692" style="2"/>
    <col min="538" max="538" width="15.2692307692308" style="2"/>
    <col min="539" max="545" width="9.29807692307692" style="2"/>
    <col min="546" max="546" width="12.6346153846154" style="2"/>
    <col min="547" max="547" width="13.9134615384615" style="2"/>
    <col min="548" max="550" width="9.29807692307692" style="2"/>
    <col min="551" max="551" width="15.2692307692308" style="2"/>
    <col min="552" max="554" width="9.29807692307692" style="2"/>
    <col min="555" max="555" width="15.2692307692308" style="2"/>
    <col min="556" max="560" width="9.29807692307692" style="2"/>
    <col min="561" max="561" width="15.2692307692308" style="2"/>
    <col min="562" max="562" width="10" style="2"/>
    <col min="563" max="563" width="12.6346153846154" style="2"/>
    <col min="564" max="566" width="9.29807692307692" style="2"/>
    <col min="567" max="567" width="15.2692307692308" style="2"/>
    <col min="568" max="574" width="9.29807692307692" style="2"/>
    <col min="575" max="575" width="11.2692307692308" style="2"/>
    <col min="576" max="576" width="15.2692307692308" style="2"/>
    <col min="577" max="579" width="9.29807692307692" style="2"/>
    <col min="580" max="580" width="15.2692307692308" style="2"/>
    <col min="581" max="583" width="9.29807692307692" style="2"/>
    <col min="584" max="584" width="15.2692307692308" style="2"/>
    <col min="585" max="589" width="9.29807692307692" style="2"/>
    <col min="590" max="590" width="15.2692307692308" style="2"/>
    <col min="591" max="591" width="10" style="2"/>
    <col min="592" max="592" width="12.6346153846154" style="2"/>
    <col min="593" max="595" width="9.29807692307692" style="2"/>
    <col min="596" max="596" width="15.2692307692308" style="2"/>
    <col min="597" max="604" width="9.29807692307692" style="2"/>
    <col min="605" max="605" width="15.2692307692308" style="2"/>
    <col min="606" max="608" width="9.29807692307692" style="2"/>
    <col min="609" max="609" width="15.2692307692308" style="2"/>
    <col min="610" max="610" width="9.29807692307692" style="2"/>
    <col min="611" max="611" width="9.45192307692308" style="2"/>
    <col min="612" max="612" width="9.29807692307692" style="2"/>
    <col min="613" max="613" width="15.2692307692308" style="2"/>
    <col min="614" max="16384" width="9.29807692307692" style="2"/>
  </cols>
  <sheetData>
    <row r="1" spans="1:616">
      <c r="AJ1" s="1"/>
      <c r="AK1" s="1">
        <v>1</v>
      </c>
      <c r="AW1" s="2" t="s">
        <v>14</v>
      </c>
      <c r="AX1" s="2" t="s">
        <v>508</v>
      </c>
      <c r="BA1" s="2" t="s">
        <v>509</v>
      </c>
      <c r="BK1" s="2" t="s">
        <v>510</v>
      </c>
      <c r="BL1" s="2" t="s">
        <v>511</v>
      </c>
      <c r="BM1" s="2" t="s">
        <v>512</v>
      </c>
      <c r="BN1" s="1">
        <v>2</v>
      </c>
      <c r="BZ1" s="2" t="s">
        <v>14</v>
      </c>
      <c r="CA1" s="2" t="s">
        <v>508</v>
      </c>
      <c r="CD1" s="2" t="s">
        <v>509</v>
      </c>
      <c r="CN1" s="2" t="s">
        <v>510</v>
      </c>
      <c r="CO1" s="2" t="s">
        <v>511</v>
      </c>
      <c r="CP1" s="2" t="s">
        <v>512</v>
      </c>
      <c r="CQ1" s="1">
        <v>3</v>
      </c>
      <c r="DC1" s="2" t="s">
        <v>14</v>
      </c>
      <c r="DD1" s="2" t="s">
        <v>508</v>
      </c>
      <c r="DG1" s="2" t="s">
        <v>509</v>
      </c>
      <c r="DQ1" s="2" t="s">
        <v>510</v>
      </c>
      <c r="DR1" s="2" t="s">
        <v>511</v>
      </c>
      <c r="DS1" s="2" t="s">
        <v>512</v>
      </c>
      <c r="DT1" s="1">
        <v>4</v>
      </c>
      <c r="EF1" s="2" t="s">
        <v>14</v>
      </c>
      <c r="EG1" s="2" t="s">
        <v>508</v>
      </c>
      <c r="EJ1" s="2" t="s">
        <v>509</v>
      </c>
      <c r="ET1" s="2" t="s">
        <v>510</v>
      </c>
      <c r="EU1" s="2" t="s">
        <v>511</v>
      </c>
      <c r="EV1" s="2" t="s">
        <v>512</v>
      </c>
      <c r="EW1" s="1">
        <v>5</v>
      </c>
      <c r="FI1" s="2" t="s">
        <v>14</v>
      </c>
      <c r="FJ1" s="2" t="s">
        <v>508</v>
      </c>
      <c r="FM1" s="2" t="s">
        <v>509</v>
      </c>
      <c r="FW1" s="2" t="s">
        <v>510</v>
      </c>
      <c r="FX1" s="2" t="s">
        <v>511</v>
      </c>
      <c r="FY1" s="2" t="s">
        <v>512</v>
      </c>
      <c r="FZ1" s="1">
        <v>6</v>
      </c>
      <c r="GL1" s="2" t="s">
        <v>14</v>
      </c>
      <c r="GM1" s="2" t="s">
        <v>508</v>
      </c>
      <c r="GP1" s="2" t="s">
        <v>509</v>
      </c>
      <c r="GZ1" s="2" t="s">
        <v>510</v>
      </c>
      <c r="HA1" s="2" t="s">
        <v>511</v>
      </c>
      <c r="HB1" s="2" t="s">
        <v>512</v>
      </c>
      <c r="HC1" s="1">
        <v>7</v>
      </c>
      <c r="HO1" s="2" t="s">
        <v>14</v>
      </c>
      <c r="HP1" s="2" t="s">
        <v>508</v>
      </c>
      <c r="HS1" s="2" t="s">
        <v>509</v>
      </c>
      <c r="IC1" s="2" t="s">
        <v>510</v>
      </c>
      <c r="ID1" s="2" t="s">
        <v>511</v>
      </c>
      <c r="IE1" s="2" t="s">
        <v>512</v>
      </c>
      <c r="IF1" s="1">
        <v>8</v>
      </c>
      <c r="IR1" s="2" t="s">
        <v>14</v>
      </c>
      <c r="IS1" s="2" t="s">
        <v>508</v>
      </c>
      <c r="IV1" s="2" t="s">
        <v>509</v>
      </c>
      <c r="JF1" s="2" t="s">
        <v>510</v>
      </c>
      <c r="JG1" s="2" t="s">
        <v>511</v>
      </c>
      <c r="JH1" s="2" t="s">
        <v>512</v>
      </c>
      <c r="JI1" s="1">
        <v>9</v>
      </c>
      <c r="JU1" s="2" t="s">
        <v>14</v>
      </c>
      <c r="JV1" s="2" t="s">
        <v>508</v>
      </c>
      <c r="JY1" s="2" t="s">
        <v>509</v>
      </c>
      <c r="KI1" s="2" t="s">
        <v>510</v>
      </c>
      <c r="KJ1" s="2" t="s">
        <v>511</v>
      </c>
      <c r="KK1" s="2" t="s">
        <v>512</v>
      </c>
      <c r="KL1" s="1">
        <v>10</v>
      </c>
      <c r="KX1" s="2" t="s">
        <v>14</v>
      </c>
      <c r="KY1" s="2" t="s">
        <v>508</v>
      </c>
      <c r="LB1" s="2" t="s">
        <v>509</v>
      </c>
      <c r="LL1" s="2" t="s">
        <v>510</v>
      </c>
      <c r="LM1" s="2" t="s">
        <v>511</v>
      </c>
      <c r="LN1" s="2" t="s">
        <v>512</v>
      </c>
      <c r="LO1" s="1">
        <v>11</v>
      </c>
      <c r="MA1" s="2" t="s">
        <v>14</v>
      </c>
      <c r="MB1" s="2" t="s">
        <v>508</v>
      </c>
      <c r="ME1" s="2" t="s">
        <v>509</v>
      </c>
      <c r="MO1" s="2" t="s">
        <v>510</v>
      </c>
      <c r="MP1" s="2" t="s">
        <v>511</v>
      </c>
      <c r="MQ1" s="2" t="s">
        <v>512</v>
      </c>
      <c r="MR1" s="1">
        <v>12</v>
      </c>
      <c r="ND1" s="2" t="s">
        <v>14</v>
      </c>
      <c r="NE1" s="2" t="s">
        <v>508</v>
      </c>
      <c r="NH1" s="2" t="s">
        <v>509</v>
      </c>
      <c r="NR1" s="2" t="s">
        <v>510</v>
      </c>
      <c r="NS1" s="2" t="s">
        <v>511</v>
      </c>
      <c r="NT1" s="2" t="s">
        <v>512</v>
      </c>
      <c r="NU1" s="1">
        <v>13</v>
      </c>
      <c r="OG1" s="2" t="s">
        <v>14</v>
      </c>
      <c r="OH1" s="2" t="s">
        <v>508</v>
      </c>
      <c r="OK1" s="2" t="s">
        <v>509</v>
      </c>
      <c r="OU1" s="2" t="s">
        <v>510</v>
      </c>
      <c r="OV1" s="2" t="s">
        <v>511</v>
      </c>
      <c r="OW1" s="2" t="s">
        <v>512</v>
      </c>
      <c r="OX1" s="1">
        <v>14</v>
      </c>
      <c r="PJ1" s="2" t="s">
        <v>14</v>
      </c>
      <c r="PK1" s="2" t="s">
        <v>508</v>
      </c>
      <c r="PN1" s="2" t="s">
        <v>509</v>
      </c>
      <c r="PX1" s="2" t="s">
        <v>510</v>
      </c>
      <c r="PY1" s="2" t="s">
        <v>511</v>
      </c>
      <c r="PZ1" s="2" t="s">
        <v>512</v>
      </c>
      <c r="QA1" s="1">
        <v>15</v>
      </c>
      <c r="QM1" s="2" t="s">
        <v>14</v>
      </c>
      <c r="QN1" s="2" t="s">
        <v>508</v>
      </c>
      <c r="QQ1" s="2" t="s">
        <v>509</v>
      </c>
      <c r="RA1" s="2" t="s">
        <v>510</v>
      </c>
      <c r="RB1" s="2" t="s">
        <v>511</v>
      </c>
      <c r="RC1" s="2" t="s">
        <v>512</v>
      </c>
      <c r="RD1" s="1">
        <v>16</v>
      </c>
      <c r="RP1" s="2" t="s">
        <v>14</v>
      </c>
      <c r="RQ1" s="2" t="s">
        <v>508</v>
      </c>
      <c r="RT1" s="2" t="s">
        <v>509</v>
      </c>
      <c r="SD1" s="2" t="s">
        <v>510</v>
      </c>
      <c r="SE1" s="2" t="s">
        <v>511</v>
      </c>
      <c r="SF1" s="2" t="s">
        <v>512</v>
      </c>
      <c r="SG1" s="1">
        <v>17</v>
      </c>
      <c r="SS1" s="2" t="s">
        <v>14</v>
      </c>
      <c r="ST1" s="2" t="s">
        <v>508</v>
      </c>
      <c r="SW1" s="2" t="s">
        <v>509</v>
      </c>
      <c r="TG1" s="2" t="s">
        <v>510</v>
      </c>
      <c r="TH1" s="2" t="s">
        <v>511</v>
      </c>
      <c r="TI1" s="2" t="s">
        <v>512</v>
      </c>
      <c r="TJ1" s="1">
        <v>18</v>
      </c>
      <c r="TV1" s="2" t="s">
        <v>14</v>
      </c>
      <c r="TW1" s="2" t="s">
        <v>508</v>
      </c>
      <c r="TZ1" s="2" t="s">
        <v>509</v>
      </c>
      <c r="UJ1" s="2" t="s">
        <v>510</v>
      </c>
      <c r="UK1" s="2" t="s">
        <v>511</v>
      </c>
      <c r="UL1" s="2" t="s">
        <v>512</v>
      </c>
      <c r="UM1" s="1">
        <v>19</v>
      </c>
      <c r="UY1" s="2" t="s">
        <v>14</v>
      </c>
      <c r="UZ1" s="2" t="s">
        <v>508</v>
      </c>
      <c r="VC1" s="2" t="s">
        <v>509</v>
      </c>
      <c r="VM1" s="2" t="s">
        <v>510</v>
      </c>
      <c r="VN1" s="2" t="s">
        <v>511</v>
      </c>
      <c r="VO1" s="2" t="s">
        <v>512</v>
      </c>
      <c r="VP1" s="1">
        <v>20</v>
      </c>
      <c r="WB1" s="2" t="s">
        <v>14</v>
      </c>
      <c r="WC1" s="2" t="s">
        <v>508</v>
      </c>
      <c r="WF1" s="2" t="s">
        <v>509</v>
      </c>
      <c r="WP1" s="2" t="s">
        <v>510</v>
      </c>
      <c r="WQ1" s="2" t="s">
        <v>511</v>
      </c>
      <c r="WR1" s="2" t="s">
        <v>512</v>
      </c>
    </row>
    <row r="2" spans="1:616">
      <c r="BM2" s="2">
        <f>AK4</f>
        <v>0</v>
      </c>
      <c r="CP2" s="2">
        <f>BN4</f>
        <v>0</v>
      </c>
      <c r="DS2" s="2" t="str">
        <f>CQ4</f>
        <v>e</v>
      </c>
      <c r="EV2" s="2" t="str">
        <f>DT4</f>
        <v>q</v>
      </c>
      <c r="FY2" s="2" t="str">
        <f>EW4</f>
        <v>5a</v>
      </c>
      <c r="HB2" s="2" t="str">
        <f>FZ4</f>
        <v>5a副手</v>
      </c>
      <c r="IE2" s="2" t="str">
        <f>HC4</f>
        <v>闪反</v>
      </c>
      <c r="JH2" s="2" t="str">
        <f>IF4</f>
        <v>闪反副手</v>
      </c>
      <c r="KK2" s="2">
        <f>JI4</f>
        <v>0</v>
      </c>
      <c r="LN2" s="2">
        <f>KL4</f>
        <v>0</v>
      </c>
      <c r="MQ2" s="2">
        <f>LO4</f>
        <v>0</v>
      </c>
      <c r="NT2" s="2">
        <f>MR4</f>
        <v>0</v>
      </c>
      <c r="OW2" s="2">
        <f>NU4</f>
        <v>0</v>
      </c>
      <c r="PZ2" s="2">
        <f>OX4</f>
        <v>0</v>
      </c>
      <c r="RC2" s="2">
        <f>QA4</f>
        <v>0</v>
      </c>
      <c r="SF2" s="2">
        <f>RD4</f>
        <v>0</v>
      </c>
      <c r="TI2" s="2">
        <f>SG4</f>
        <v>0</v>
      </c>
      <c r="UL2" s="2">
        <f>TJ4</f>
        <v>0</v>
      </c>
      <c r="VO2" s="2" t="str">
        <f>UM4</f>
        <v>C觉追击</v>
      </c>
      <c r="WR2" s="2">
        <f>VP4</f>
        <v>0</v>
      </c>
    </row>
    <row r="3" spans="1:616">
      <c r="A3" s="2" t="s">
        <v>31</v>
      </c>
      <c r="B3" s="2" t="s">
        <v>513</v>
      </c>
      <c r="C3" s="2" t="s">
        <v>514</v>
      </c>
      <c r="D3" s="2" t="s">
        <v>515</v>
      </c>
      <c r="E3" s="2" t="s">
        <v>516</v>
      </c>
      <c r="F3" s="2" t="s">
        <v>517</v>
      </c>
      <c r="G3" s="2" t="s">
        <v>518</v>
      </c>
      <c r="H3" s="2" t="s">
        <v>519</v>
      </c>
      <c r="I3" s="2" t="s">
        <v>81</v>
      </c>
      <c r="J3" s="2" t="s">
        <v>520</v>
      </c>
      <c r="K3" s="2" t="s">
        <v>263</v>
      </c>
      <c r="L3" s="2" t="s">
        <v>85</v>
      </c>
      <c r="M3" s="2" t="s">
        <v>521</v>
      </c>
      <c r="N3" s="2" t="s">
        <v>265</v>
      </c>
      <c r="O3" s="2" t="s">
        <v>89</v>
      </c>
      <c r="P3" s="2" t="s">
        <v>522</v>
      </c>
      <c r="Q3" s="2" t="s">
        <v>523</v>
      </c>
      <c r="R3" s="2" t="s">
        <v>135</v>
      </c>
      <c r="S3" s="2" t="s">
        <v>187</v>
      </c>
      <c r="T3" s="2" t="s">
        <v>347</v>
      </c>
      <c r="U3" s="2" t="s">
        <v>131</v>
      </c>
      <c r="V3" s="2" t="s">
        <v>348</v>
      </c>
      <c r="W3" s="2" t="s">
        <v>349</v>
      </c>
      <c r="X3" s="2" t="s">
        <v>136</v>
      </c>
      <c r="Y3" s="2" t="s">
        <v>250</v>
      </c>
      <c r="Z3" s="2" t="s">
        <v>241</v>
      </c>
      <c r="AA3" s="2" t="s">
        <v>246</v>
      </c>
      <c r="AB3" s="2" t="s">
        <v>491</v>
      </c>
      <c r="AC3" s="2" t="s">
        <v>373</v>
      </c>
      <c r="AD3" s="2" t="s">
        <v>374</v>
      </c>
      <c r="AE3" s="2" t="s">
        <v>356</v>
      </c>
      <c r="AF3" s="2" t="s">
        <v>178</v>
      </c>
      <c r="AG3" s="2" t="s">
        <v>179</v>
      </c>
      <c r="AH3" s="2" t="s">
        <v>524</v>
      </c>
      <c r="AK3" s="2" t="s">
        <v>279</v>
      </c>
      <c r="AL3" s="2" t="s">
        <v>525</v>
      </c>
      <c r="AM3" s="2" t="s">
        <v>132</v>
      </c>
      <c r="AN3" s="2" t="s">
        <v>146</v>
      </c>
      <c r="AO3" s="2" t="s">
        <v>161</v>
      </c>
      <c r="AP3" s="2" t="s">
        <v>131</v>
      </c>
      <c r="AQ3" s="2" t="s">
        <v>216</v>
      </c>
      <c r="AR3" s="2" t="s">
        <v>228</v>
      </c>
      <c r="AS3" s="2" t="s">
        <v>280</v>
      </c>
      <c r="AT3" s="2" t="s">
        <v>281</v>
      </c>
      <c r="AU3" s="2" t="s">
        <v>282</v>
      </c>
      <c r="AV3" s="2" t="s">
        <v>283</v>
      </c>
      <c r="AW3" s="2" t="s">
        <v>46</v>
      </c>
      <c r="AX3" s="2" t="s">
        <v>286</v>
      </c>
      <c r="AY3" s="2" t="s">
        <v>285</v>
      </c>
      <c r="AZ3" s="2" t="s">
        <v>526</v>
      </c>
      <c r="BA3" s="2" t="s">
        <v>527</v>
      </c>
      <c r="BB3" s="2" t="s">
        <v>528</v>
      </c>
      <c r="BC3" s="2" t="s">
        <v>529</v>
      </c>
      <c r="BD3" s="2" t="s">
        <v>135</v>
      </c>
      <c r="BE3" s="2" t="s">
        <v>187</v>
      </c>
      <c r="BF3" s="2" t="s">
        <v>530</v>
      </c>
      <c r="BG3" s="2" t="s">
        <v>531</v>
      </c>
      <c r="BH3" s="2" t="s">
        <v>532</v>
      </c>
      <c r="BI3" s="2" t="s">
        <v>178</v>
      </c>
      <c r="BJ3" s="2" t="s">
        <v>533</v>
      </c>
      <c r="BK3" s="2" t="s">
        <v>534</v>
      </c>
      <c r="BL3" s="2" t="s">
        <v>535</v>
      </c>
      <c r="BM3" s="2" t="s">
        <v>217</v>
      </c>
      <c r="BN3" s="2" t="s">
        <v>279</v>
      </c>
      <c r="BO3" s="2" t="s">
        <v>525</v>
      </c>
      <c r="BP3" s="2" t="s">
        <v>132</v>
      </c>
      <c r="BQ3" s="2" t="s">
        <v>146</v>
      </c>
      <c r="BR3" s="2" t="s">
        <v>161</v>
      </c>
      <c r="BS3" s="2" t="s">
        <v>131</v>
      </c>
      <c r="BT3" s="2" t="s">
        <v>216</v>
      </c>
      <c r="BU3" s="2" t="s">
        <v>228</v>
      </c>
      <c r="BV3" s="2" t="s">
        <v>280</v>
      </c>
      <c r="BW3" s="2" t="s">
        <v>281</v>
      </c>
      <c r="BX3" s="2" t="s">
        <v>282</v>
      </c>
      <c r="BY3" s="2" t="s">
        <v>283</v>
      </c>
      <c r="BZ3" s="2" t="s">
        <v>46</v>
      </c>
      <c r="CA3" s="2" t="s">
        <v>286</v>
      </c>
      <c r="CB3" s="2" t="s">
        <v>285</v>
      </c>
      <c r="CC3" s="2" t="s">
        <v>526</v>
      </c>
      <c r="CD3" s="2" t="s">
        <v>527</v>
      </c>
      <c r="CE3" s="2" t="s">
        <v>528</v>
      </c>
      <c r="CF3" s="2" t="s">
        <v>529</v>
      </c>
      <c r="CG3" s="2" t="s">
        <v>135</v>
      </c>
      <c r="CH3" s="2" t="s">
        <v>187</v>
      </c>
      <c r="CI3" s="2" t="s">
        <v>530</v>
      </c>
      <c r="CJ3" s="2" t="s">
        <v>531</v>
      </c>
      <c r="CK3" s="2" t="s">
        <v>532</v>
      </c>
      <c r="CL3" s="2" t="s">
        <v>178</v>
      </c>
      <c r="CM3" s="2" t="s">
        <v>533</v>
      </c>
      <c r="CN3" s="2" t="s">
        <v>534</v>
      </c>
      <c r="CO3" s="2" t="s">
        <v>535</v>
      </c>
      <c r="CP3" s="2" t="s">
        <v>217</v>
      </c>
      <c r="CQ3" s="2" t="s">
        <v>279</v>
      </c>
      <c r="CR3" s="2" t="s">
        <v>525</v>
      </c>
      <c r="CS3" s="2" t="s">
        <v>132</v>
      </c>
      <c r="CT3" s="2" t="s">
        <v>146</v>
      </c>
      <c r="CU3" s="2" t="s">
        <v>161</v>
      </c>
      <c r="CV3" s="2" t="s">
        <v>131</v>
      </c>
      <c r="CW3" s="2" t="s">
        <v>216</v>
      </c>
      <c r="CX3" s="2" t="s">
        <v>228</v>
      </c>
      <c r="CY3" s="2" t="s">
        <v>280</v>
      </c>
      <c r="CZ3" s="2" t="s">
        <v>281</v>
      </c>
      <c r="DA3" s="2" t="s">
        <v>282</v>
      </c>
      <c r="DB3" s="2" t="s">
        <v>283</v>
      </c>
      <c r="DC3" s="2" t="s">
        <v>46</v>
      </c>
      <c r="DD3" s="2" t="s">
        <v>286</v>
      </c>
      <c r="DE3" s="2" t="s">
        <v>285</v>
      </c>
      <c r="DF3" s="2" t="s">
        <v>526</v>
      </c>
      <c r="DG3" s="2" t="s">
        <v>527</v>
      </c>
      <c r="DH3" s="2" t="s">
        <v>528</v>
      </c>
      <c r="DI3" s="2" t="s">
        <v>529</v>
      </c>
      <c r="DJ3" s="2" t="s">
        <v>135</v>
      </c>
      <c r="DK3" s="2" t="s">
        <v>187</v>
      </c>
      <c r="DL3" s="2" t="s">
        <v>530</v>
      </c>
      <c r="DM3" s="2" t="s">
        <v>531</v>
      </c>
      <c r="DN3" s="2" t="s">
        <v>532</v>
      </c>
      <c r="DO3" s="2" t="s">
        <v>178</v>
      </c>
      <c r="DP3" s="2" t="s">
        <v>533</v>
      </c>
      <c r="DQ3" s="2" t="s">
        <v>534</v>
      </c>
      <c r="DR3" s="2" t="s">
        <v>535</v>
      </c>
      <c r="DS3" s="2" t="s">
        <v>217</v>
      </c>
      <c r="DT3" s="2" t="s">
        <v>279</v>
      </c>
      <c r="DU3" s="2" t="s">
        <v>525</v>
      </c>
      <c r="DV3" s="2" t="s">
        <v>132</v>
      </c>
      <c r="DW3" s="2" t="s">
        <v>146</v>
      </c>
      <c r="DX3" s="2" t="s">
        <v>161</v>
      </c>
      <c r="DY3" s="2" t="s">
        <v>131</v>
      </c>
      <c r="DZ3" s="2" t="s">
        <v>216</v>
      </c>
      <c r="EA3" s="2" t="s">
        <v>228</v>
      </c>
      <c r="EB3" s="2" t="s">
        <v>280</v>
      </c>
      <c r="EC3" s="2" t="s">
        <v>281</v>
      </c>
      <c r="ED3" s="2" t="s">
        <v>282</v>
      </c>
      <c r="EE3" s="2" t="s">
        <v>283</v>
      </c>
      <c r="EF3" s="2" t="s">
        <v>46</v>
      </c>
      <c r="EG3" s="2" t="s">
        <v>286</v>
      </c>
      <c r="EH3" s="2" t="s">
        <v>285</v>
      </c>
      <c r="EI3" s="2" t="s">
        <v>526</v>
      </c>
      <c r="EJ3" s="2" t="s">
        <v>527</v>
      </c>
      <c r="EK3" s="2" t="s">
        <v>528</v>
      </c>
      <c r="EL3" s="2" t="s">
        <v>529</v>
      </c>
      <c r="EM3" s="2" t="s">
        <v>135</v>
      </c>
      <c r="EN3" s="2" t="s">
        <v>187</v>
      </c>
      <c r="EO3" s="2" t="s">
        <v>530</v>
      </c>
      <c r="EP3" s="2" t="s">
        <v>531</v>
      </c>
      <c r="EQ3" s="2" t="s">
        <v>532</v>
      </c>
      <c r="ER3" s="2" t="s">
        <v>178</v>
      </c>
      <c r="ES3" s="2" t="s">
        <v>533</v>
      </c>
      <c r="ET3" s="2" t="s">
        <v>534</v>
      </c>
      <c r="EU3" s="2" t="s">
        <v>535</v>
      </c>
      <c r="EV3" s="2" t="s">
        <v>217</v>
      </c>
      <c r="EW3" s="2" t="s">
        <v>279</v>
      </c>
      <c r="EX3" s="2" t="s">
        <v>525</v>
      </c>
      <c r="EY3" s="2" t="s">
        <v>132</v>
      </c>
      <c r="EZ3" s="2" t="s">
        <v>146</v>
      </c>
      <c r="FA3" s="2" t="s">
        <v>161</v>
      </c>
      <c r="FB3" s="2" t="s">
        <v>131</v>
      </c>
      <c r="FC3" s="2" t="s">
        <v>216</v>
      </c>
      <c r="FD3" s="2" t="s">
        <v>228</v>
      </c>
      <c r="FE3" s="2" t="s">
        <v>280</v>
      </c>
      <c r="FF3" s="2" t="s">
        <v>281</v>
      </c>
      <c r="FG3" s="2" t="s">
        <v>282</v>
      </c>
      <c r="FH3" s="2" t="s">
        <v>283</v>
      </c>
      <c r="FI3" s="2" t="s">
        <v>46</v>
      </c>
      <c r="FJ3" s="2" t="s">
        <v>286</v>
      </c>
      <c r="FK3" s="2" t="s">
        <v>285</v>
      </c>
      <c r="FL3" s="2" t="s">
        <v>526</v>
      </c>
      <c r="FM3" s="2" t="s">
        <v>527</v>
      </c>
      <c r="FN3" s="2" t="s">
        <v>528</v>
      </c>
      <c r="FO3" s="2" t="s">
        <v>529</v>
      </c>
      <c r="FP3" s="2" t="s">
        <v>135</v>
      </c>
      <c r="FQ3" s="2" t="s">
        <v>187</v>
      </c>
      <c r="FR3" s="2" t="s">
        <v>530</v>
      </c>
      <c r="FS3" s="2" t="s">
        <v>531</v>
      </c>
      <c r="FT3" s="2" t="s">
        <v>532</v>
      </c>
      <c r="FU3" s="2" t="s">
        <v>178</v>
      </c>
      <c r="FV3" s="2" t="s">
        <v>533</v>
      </c>
      <c r="FW3" s="2" t="s">
        <v>534</v>
      </c>
      <c r="FX3" s="2" t="s">
        <v>535</v>
      </c>
      <c r="FY3" s="2" t="s">
        <v>217</v>
      </c>
      <c r="FZ3" s="2" t="s">
        <v>279</v>
      </c>
      <c r="GA3" s="2" t="s">
        <v>525</v>
      </c>
      <c r="GB3" s="2" t="s">
        <v>132</v>
      </c>
      <c r="GC3" s="2" t="s">
        <v>146</v>
      </c>
      <c r="GD3" s="2" t="s">
        <v>161</v>
      </c>
      <c r="GE3" s="2" t="s">
        <v>131</v>
      </c>
      <c r="GF3" s="2" t="s">
        <v>216</v>
      </c>
      <c r="GG3" s="2" t="s">
        <v>228</v>
      </c>
      <c r="GH3" s="2" t="s">
        <v>280</v>
      </c>
      <c r="GI3" s="2" t="s">
        <v>281</v>
      </c>
      <c r="GJ3" s="2" t="s">
        <v>282</v>
      </c>
      <c r="GK3" s="2" t="s">
        <v>283</v>
      </c>
      <c r="GL3" s="2" t="s">
        <v>46</v>
      </c>
      <c r="GM3" s="2" t="s">
        <v>286</v>
      </c>
      <c r="GN3" s="2" t="s">
        <v>285</v>
      </c>
      <c r="GO3" s="2" t="s">
        <v>526</v>
      </c>
      <c r="GP3" s="2" t="s">
        <v>527</v>
      </c>
      <c r="GQ3" s="2" t="s">
        <v>528</v>
      </c>
      <c r="GR3" s="2" t="s">
        <v>529</v>
      </c>
      <c r="GS3" s="2" t="s">
        <v>135</v>
      </c>
      <c r="GT3" s="2" t="s">
        <v>187</v>
      </c>
      <c r="GU3" s="2" t="s">
        <v>530</v>
      </c>
      <c r="GV3" s="2" t="s">
        <v>531</v>
      </c>
      <c r="GW3" s="2" t="s">
        <v>532</v>
      </c>
      <c r="GX3" s="2" t="s">
        <v>178</v>
      </c>
      <c r="GY3" s="2" t="s">
        <v>533</v>
      </c>
      <c r="GZ3" s="2" t="s">
        <v>534</v>
      </c>
      <c r="HA3" s="2" t="s">
        <v>535</v>
      </c>
      <c r="HB3" s="2" t="s">
        <v>217</v>
      </c>
      <c r="HC3" s="2" t="s">
        <v>279</v>
      </c>
      <c r="HD3" s="2" t="s">
        <v>525</v>
      </c>
      <c r="HE3" s="2" t="s">
        <v>132</v>
      </c>
      <c r="HF3" s="2" t="s">
        <v>146</v>
      </c>
      <c r="HG3" s="2" t="s">
        <v>161</v>
      </c>
      <c r="HH3" s="2" t="s">
        <v>131</v>
      </c>
      <c r="HI3" s="2" t="s">
        <v>216</v>
      </c>
      <c r="HJ3" s="2" t="s">
        <v>228</v>
      </c>
      <c r="HK3" s="2" t="s">
        <v>280</v>
      </c>
      <c r="HL3" s="2" t="s">
        <v>281</v>
      </c>
      <c r="HM3" s="2" t="s">
        <v>282</v>
      </c>
      <c r="HN3" s="2" t="s">
        <v>283</v>
      </c>
      <c r="HO3" s="2" t="s">
        <v>46</v>
      </c>
      <c r="HP3" s="2" t="s">
        <v>286</v>
      </c>
      <c r="HQ3" s="2" t="s">
        <v>285</v>
      </c>
      <c r="HR3" s="2" t="s">
        <v>526</v>
      </c>
      <c r="HS3" s="2" t="s">
        <v>527</v>
      </c>
      <c r="HT3" s="2" t="s">
        <v>528</v>
      </c>
      <c r="HU3" s="2" t="s">
        <v>529</v>
      </c>
      <c r="HV3" s="2" t="s">
        <v>135</v>
      </c>
      <c r="HW3" s="2" t="s">
        <v>187</v>
      </c>
      <c r="HX3" s="2" t="s">
        <v>530</v>
      </c>
      <c r="HY3" s="2" t="s">
        <v>531</v>
      </c>
      <c r="HZ3" s="2" t="s">
        <v>532</v>
      </c>
      <c r="IA3" s="2" t="s">
        <v>178</v>
      </c>
      <c r="IB3" s="2" t="s">
        <v>533</v>
      </c>
      <c r="IC3" s="2" t="s">
        <v>534</v>
      </c>
      <c r="ID3" s="2" t="s">
        <v>535</v>
      </c>
      <c r="IE3" s="2" t="s">
        <v>217</v>
      </c>
      <c r="IF3" s="2" t="s">
        <v>279</v>
      </c>
      <c r="IG3" s="2" t="s">
        <v>525</v>
      </c>
      <c r="IH3" s="2" t="s">
        <v>132</v>
      </c>
      <c r="II3" s="2" t="s">
        <v>146</v>
      </c>
      <c r="IJ3" s="2" t="s">
        <v>161</v>
      </c>
      <c r="IK3" s="2" t="s">
        <v>131</v>
      </c>
      <c r="IL3" s="2" t="s">
        <v>216</v>
      </c>
      <c r="IM3" s="2" t="s">
        <v>228</v>
      </c>
      <c r="IN3" s="2" t="s">
        <v>280</v>
      </c>
      <c r="IO3" s="2" t="s">
        <v>281</v>
      </c>
      <c r="IP3" s="2" t="s">
        <v>282</v>
      </c>
      <c r="IQ3" s="2" t="s">
        <v>283</v>
      </c>
      <c r="IR3" s="2" t="s">
        <v>46</v>
      </c>
      <c r="IS3" s="2" t="s">
        <v>286</v>
      </c>
      <c r="IT3" s="2" t="s">
        <v>285</v>
      </c>
      <c r="IU3" s="2" t="s">
        <v>526</v>
      </c>
      <c r="IV3" s="2" t="s">
        <v>527</v>
      </c>
      <c r="IW3" s="2" t="s">
        <v>528</v>
      </c>
      <c r="IX3" s="2" t="s">
        <v>529</v>
      </c>
      <c r="IY3" s="2" t="s">
        <v>135</v>
      </c>
      <c r="IZ3" s="2" t="s">
        <v>187</v>
      </c>
      <c r="JA3" s="2" t="s">
        <v>530</v>
      </c>
      <c r="JB3" s="2" t="s">
        <v>531</v>
      </c>
      <c r="JC3" s="2" t="s">
        <v>532</v>
      </c>
      <c r="JD3" s="2" t="s">
        <v>178</v>
      </c>
      <c r="JE3" s="2" t="s">
        <v>533</v>
      </c>
      <c r="JF3" s="2" t="s">
        <v>534</v>
      </c>
      <c r="JG3" s="2" t="s">
        <v>535</v>
      </c>
      <c r="JH3" s="2" t="s">
        <v>217</v>
      </c>
      <c r="JI3" s="2" t="s">
        <v>279</v>
      </c>
      <c r="JJ3" s="2" t="s">
        <v>525</v>
      </c>
      <c r="JK3" s="2" t="s">
        <v>132</v>
      </c>
      <c r="JL3" s="2" t="s">
        <v>146</v>
      </c>
      <c r="JM3" s="2" t="s">
        <v>161</v>
      </c>
      <c r="JN3" s="2" t="s">
        <v>131</v>
      </c>
      <c r="JO3" s="2" t="s">
        <v>216</v>
      </c>
      <c r="JP3" s="2" t="s">
        <v>228</v>
      </c>
      <c r="JQ3" s="2" t="s">
        <v>280</v>
      </c>
      <c r="JR3" s="2" t="s">
        <v>281</v>
      </c>
      <c r="JS3" s="2" t="s">
        <v>282</v>
      </c>
      <c r="JT3" s="2" t="s">
        <v>283</v>
      </c>
      <c r="JU3" s="2" t="s">
        <v>46</v>
      </c>
      <c r="JV3" s="2" t="s">
        <v>286</v>
      </c>
      <c r="JW3" s="2" t="s">
        <v>285</v>
      </c>
      <c r="JX3" s="2" t="s">
        <v>526</v>
      </c>
      <c r="JY3" s="2" t="s">
        <v>527</v>
      </c>
      <c r="JZ3" s="2" t="s">
        <v>528</v>
      </c>
      <c r="KA3" s="2" t="s">
        <v>529</v>
      </c>
      <c r="KB3" s="2" t="s">
        <v>135</v>
      </c>
      <c r="KC3" s="2" t="s">
        <v>187</v>
      </c>
      <c r="KD3" s="2" t="s">
        <v>530</v>
      </c>
      <c r="KE3" s="2" t="s">
        <v>531</v>
      </c>
      <c r="KF3" s="2" t="s">
        <v>532</v>
      </c>
      <c r="KG3" s="2" t="s">
        <v>178</v>
      </c>
      <c r="KH3" s="2" t="s">
        <v>533</v>
      </c>
      <c r="KI3" s="2" t="s">
        <v>534</v>
      </c>
      <c r="KJ3" s="2" t="s">
        <v>535</v>
      </c>
      <c r="KK3" s="2" t="s">
        <v>217</v>
      </c>
      <c r="KL3" s="2" t="s">
        <v>279</v>
      </c>
      <c r="KM3" s="2" t="s">
        <v>525</v>
      </c>
      <c r="KN3" s="2" t="s">
        <v>132</v>
      </c>
      <c r="KO3" s="2" t="s">
        <v>146</v>
      </c>
      <c r="KP3" s="2" t="s">
        <v>161</v>
      </c>
      <c r="KQ3" s="2" t="s">
        <v>131</v>
      </c>
      <c r="KR3" s="2" t="s">
        <v>216</v>
      </c>
      <c r="KS3" s="2" t="s">
        <v>228</v>
      </c>
      <c r="KT3" s="2" t="s">
        <v>280</v>
      </c>
      <c r="KU3" s="2" t="s">
        <v>281</v>
      </c>
      <c r="KV3" s="2" t="s">
        <v>282</v>
      </c>
      <c r="KW3" s="2" t="s">
        <v>283</v>
      </c>
      <c r="KX3" s="2" t="s">
        <v>46</v>
      </c>
      <c r="KY3" s="2" t="s">
        <v>286</v>
      </c>
      <c r="KZ3" s="2" t="s">
        <v>285</v>
      </c>
      <c r="LA3" s="2" t="s">
        <v>526</v>
      </c>
      <c r="LB3" s="2" t="s">
        <v>527</v>
      </c>
      <c r="LC3" s="2" t="s">
        <v>528</v>
      </c>
      <c r="LD3" s="2" t="s">
        <v>529</v>
      </c>
      <c r="LE3" s="2" t="s">
        <v>135</v>
      </c>
      <c r="LF3" s="2" t="s">
        <v>187</v>
      </c>
      <c r="LG3" s="2" t="s">
        <v>530</v>
      </c>
      <c r="LH3" s="2" t="s">
        <v>531</v>
      </c>
      <c r="LI3" s="2" t="s">
        <v>532</v>
      </c>
      <c r="LJ3" s="2" t="s">
        <v>178</v>
      </c>
      <c r="LK3" s="2" t="s">
        <v>533</v>
      </c>
      <c r="LL3" s="2" t="s">
        <v>534</v>
      </c>
      <c r="LM3" s="2" t="s">
        <v>535</v>
      </c>
      <c r="LN3" s="2" t="s">
        <v>217</v>
      </c>
      <c r="LO3" s="2" t="s">
        <v>279</v>
      </c>
      <c r="LP3" s="2" t="s">
        <v>525</v>
      </c>
      <c r="LQ3" s="2" t="s">
        <v>132</v>
      </c>
      <c r="LR3" s="2" t="s">
        <v>146</v>
      </c>
      <c r="LS3" s="2" t="s">
        <v>161</v>
      </c>
      <c r="LT3" s="2" t="s">
        <v>131</v>
      </c>
      <c r="LU3" s="2" t="s">
        <v>216</v>
      </c>
      <c r="LV3" s="2" t="s">
        <v>228</v>
      </c>
      <c r="LW3" s="2" t="s">
        <v>280</v>
      </c>
      <c r="LX3" s="2" t="s">
        <v>281</v>
      </c>
      <c r="LY3" s="2" t="s">
        <v>282</v>
      </c>
      <c r="LZ3" s="2" t="s">
        <v>283</v>
      </c>
      <c r="MA3" s="2" t="s">
        <v>46</v>
      </c>
      <c r="MB3" s="2" t="s">
        <v>286</v>
      </c>
      <c r="MC3" s="2" t="s">
        <v>285</v>
      </c>
      <c r="MD3" s="2" t="s">
        <v>526</v>
      </c>
      <c r="ME3" s="2" t="s">
        <v>527</v>
      </c>
      <c r="MF3" s="2" t="s">
        <v>528</v>
      </c>
      <c r="MG3" s="2" t="s">
        <v>529</v>
      </c>
      <c r="MH3" s="2" t="s">
        <v>135</v>
      </c>
      <c r="MI3" s="2" t="s">
        <v>187</v>
      </c>
      <c r="MJ3" s="2" t="s">
        <v>530</v>
      </c>
      <c r="MK3" s="2" t="s">
        <v>531</v>
      </c>
      <c r="ML3" s="2" t="s">
        <v>532</v>
      </c>
      <c r="MM3" s="2" t="s">
        <v>178</v>
      </c>
      <c r="MN3" s="2" t="s">
        <v>533</v>
      </c>
      <c r="MO3" s="2" t="s">
        <v>534</v>
      </c>
      <c r="MP3" s="2" t="s">
        <v>535</v>
      </c>
      <c r="MQ3" s="2" t="s">
        <v>217</v>
      </c>
      <c r="MR3" s="2" t="s">
        <v>279</v>
      </c>
      <c r="MS3" s="2" t="s">
        <v>525</v>
      </c>
      <c r="MT3" s="2" t="s">
        <v>132</v>
      </c>
      <c r="MU3" s="2" t="s">
        <v>146</v>
      </c>
      <c r="MV3" s="2" t="s">
        <v>161</v>
      </c>
      <c r="MW3" s="2" t="s">
        <v>131</v>
      </c>
      <c r="MX3" s="2" t="s">
        <v>216</v>
      </c>
      <c r="MY3" s="2" t="s">
        <v>228</v>
      </c>
      <c r="MZ3" s="2" t="s">
        <v>280</v>
      </c>
      <c r="NA3" s="2" t="s">
        <v>281</v>
      </c>
      <c r="NB3" s="2" t="s">
        <v>282</v>
      </c>
      <c r="NC3" s="2" t="s">
        <v>283</v>
      </c>
      <c r="ND3" s="2" t="s">
        <v>46</v>
      </c>
      <c r="NE3" s="2" t="s">
        <v>286</v>
      </c>
      <c r="NF3" s="2" t="s">
        <v>285</v>
      </c>
      <c r="NG3" s="2" t="s">
        <v>526</v>
      </c>
      <c r="NH3" s="2" t="s">
        <v>527</v>
      </c>
      <c r="NI3" s="2" t="s">
        <v>528</v>
      </c>
      <c r="NJ3" s="2" t="s">
        <v>529</v>
      </c>
      <c r="NK3" s="2" t="s">
        <v>135</v>
      </c>
      <c r="NL3" s="2" t="s">
        <v>187</v>
      </c>
      <c r="NM3" s="2" t="s">
        <v>530</v>
      </c>
      <c r="NN3" s="2" t="s">
        <v>531</v>
      </c>
      <c r="NO3" s="2" t="s">
        <v>532</v>
      </c>
      <c r="NP3" s="2" t="s">
        <v>178</v>
      </c>
      <c r="NQ3" s="2" t="s">
        <v>533</v>
      </c>
      <c r="NR3" s="2" t="s">
        <v>534</v>
      </c>
      <c r="NS3" s="2" t="s">
        <v>535</v>
      </c>
      <c r="NT3" s="2" t="s">
        <v>217</v>
      </c>
      <c r="NU3" s="2" t="s">
        <v>279</v>
      </c>
      <c r="NV3" s="2" t="s">
        <v>525</v>
      </c>
      <c r="NW3" s="2" t="s">
        <v>132</v>
      </c>
      <c r="NX3" s="2" t="s">
        <v>146</v>
      </c>
      <c r="NY3" s="2" t="s">
        <v>161</v>
      </c>
      <c r="NZ3" s="2" t="s">
        <v>131</v>
      </c>
      <c r="OA3" s="2" t="s">
        <v>216</v>
      </c>
      <c r="OB3" s="2" t="s">
        <v>228</v>
      </c>
      <c r="OC3" s="2" t="s">
        <v>280</v>
      </c>
      <c r="OD3" s="2" t="s">
        <v>281</v>
      </c>
      <c r="OE3" s="2" t="s">
        <v>282</v>
      </c>
      <c r="OF3" s="2" t="s">
        <v>283</v>
      </c>
      <c r="OG3" s="2" t="s">
        <v>46</v>
      </c>
      <c r="OH3" s="2" t="s">
        <v>286</v>
      </c>
      <c r="OI3" s="2" t="s">
        <v>285</v>
      </c>
      <c r="OJ3" s="2" t="s">
        <v>526</v>
      </c>
      <c r="OK3" s="2" t="s">
        <v>527</v>
      </c>
      <c r="OL3" s="2" t="s">
        <v>528</v>
      </c>
      <c r="OM3" s="2" t="s">
        <v>529</v>
      </c>
      <c r="ON3" s="2" t="s">
        <v>135</v>
      </c>
      <c r="OO3" s="2" t="s">
        <v>187</v>
      </c>
      <c r="OP3" s="2" t="s">
        <v>530</v>
      </c>
      <c r="OQ3" s="2" t="s">
        <v>531</v>
      </c>
      <c r="OR3" s="2" t="s">
        <v>532</v>
      </c>
      <c r="OS3" s="2" t="s">
        <v>178</v>
      </c>
      <c r="OT3" s="2" t="s">
        <v>533</v>
      </c>
      <c r="OU3" s="2" t="s">
        <v>534</v>
      </c>
      <c r="OV3" s="2" t="s">
        <v>535</v>
      </c>
      <c r="OW3" s="2" t="s">
        <v>217</v>
      </c>
      <c r="OX3" s="2" t="s">
        <v>279</v>
      </c>
      <c r="OY3" s="2" t="s">
        <v>525</v>
      </c>
      <c r="OZ3" s="2" t="s">
        <v>132</v>
      </c>
      <c r="PA3" s="2" t="s">
        <v>146</v>
      </c>
      <c r="PB3" s="2" t="s">
        <v>161</v>
      </c>
      <c r="PC3" s="2" t="s">
        <v>131</v>
      </c>
      <c r="PD3" s="2" t="s">
        <v>216</v>
      </c>
      <c r="PE3" s="2" t="s">
        <v>228</v>
      </c>
      <c r="PF3" s="2" t="s">
        <v>280</v>
      </c>
      <c r="PG3" s="2" t="s">
        <v>281</v>
      </c>
      <c r="PH3" s="2" t="s">
        <v>282</v>
      </c>
      <c r="PI3" s="2" t="s">
        <v>283</v>
      </c>
      <c r="PJ3" s="2" t="s">
        <v>46</v>
      </c>
      <c r="PK3" s="2" t="s">
        <v>286</v>
      </c>
      <c r="PL3" s="2" t="s">
        <v>285</v>
      </c>
      <c r="PM3" s="2" t="s">
        <v>526</v>
      </c>
      <c r="PN3" s="2" t="s">
        <v>527</v>
      </c>
      <c r="PO3" s="2" t="s">
        <v>528</v>
      </c>
      <c r="PP3" s="2" t="s">
        <v>529</v>
      </c>
      <c r="PQ3" s="2" t="s">
        <v>135</v>
      </c>
      <c r="PR3" s="2" t="s">
        <v>187</v>
      </c>
      <c r="PS3" s="2" t="s">
        <v>530</v>
      </c>
      <c r="PT3" s="2" t="s">
        <v>531</v>
      </c>
      <c r="PU3" s="2" t="s">
        <v>532</v>
      </c>
      <c r="PV3" s="2" t="s">
        <v>178</v>
      </c>
      <c r="PW3" s="2" t="s">
        <v>533</v>
      </c>
      <c r="PX3" s="2" t="s">
        <v>534</v>
      </c>
      <c r="PY3" s="2" t="s">
        <v>535</v>
      </c>
      <c r="PZ3" s="2" t="s">
        <v>217</v>
      </c>
      <c r="QA3" s="2" t="s">
        <v>279</v>
      </c>
      <c r="QB3" s="2" t="s">
        <v>525</v>
      </c>
      <c r="QC3" s="2" t="s">
        <v>132</v>
      </c>
      <c r="QD3" s="2" t="s">
        <v>146</v>
      </c>
      <c r="QE3" s="2" t="s">
        <v>161</v>
      </c>
      <c r="QF3" s="2" t="s">
        <v>131</v>
      </c>
      <c r="QG3" s="2" t="s">
        <v>216</v>
      </c>
      <c r="QH3" s="2" t="s">
        <v>228</v>
      </c>
      <c r="QI3" s="2" t="s">
        <v>280</v>
      </c>
      <c r="QJ3" s="2" t="s">
        <v>281</v>
      </c>
      <c r="QK3" s="2" t="s">
        <v>282</v>
      </c>
      <c r="QL3" s="2" t="s">
        <v>283</v>
      </c>
      <c r="QM3" s="2" t="s">
        <v>46</v>
      </c>
      <c r="QN3" s="2" t="s">
        <v>286</v>
      </c>
      <c r="QO3" s="2" t="s">
        <v>285</v>
      </c>
      <c r="QP3" s="2" t="s">
        <v>526</v>
      </c>
      <c r="QQ3" s="2" t="s">
        <v>527</v>
      </c>
      <c r="QR3" s="2" t="s">
        <v>528</v>
      </c>
      <c r="QS3" s="2" t="s">
        <v>529</v>
      </c>
      <c r="QT3" s="2" t="s">
        <v>135</v>
      </c>
      <c r="QU3" s="2" t="s">
        <v>187</v>
      </c>
      <c r="QV3" s="2" t="s">
        <v>530</v>
      </c>
      <c r="QW3" s="2" t="s">
        <v>531</v>
      </c>
      <c r="QX3" s="2" t="s">
        <v>532</v>
      </c>
      <c r="QY3" s="2" t="s">
        <v>178</v>
      </c>
      <c r="QZ3" s="2" t="s">
        <v>533</v>
      </c>
      <c r="RA3" s="2" t="s">
        <v>534</v>
      </c>
      <c r="RB3" s="2" t="s">
        <v>535</v>
      </c>
      <c r="RC3" s="2" t="s">
        <v>217</v>
      </c>
      <c r="RD3" s="2" t="s">
        <v>279</v>
      </c>
      <c r="RE3" s="2" t="s">
        <v>525</v>
      </c>
      <c r="RF3" s="2" t="s">
        <v>132</v>
      </c>
      <c r="RG3" s="2" t="s">
        <v>146</v>
      </c>
      <c r="RH3" s="2" t="s">
        <v>161</v>
      </c>
      <c r="RI3" s="2" t="s">
        <v>131</v>
      </c>
      <c r="RJ3" s="2" t="s">
        <v>216</v>
      </c>
      <c r="RK3" s="2" t="s">
        <v>228</v>
      </c>
      <c r="RL3" s="2" t="s">
        <v>280</v>
      </c>
      <c r="RM3" s="2" t="s">
        <v>281</v>
      </c>
      <c r="RN3" s="2" t="s">
        <v>282</v>
      </c>
      <c r="RO3" s="2" t="s">
        <v>283</v>
      </c>
      <c r="RP3" s="2" t="s">
        <v>46</v>
      </c>
      <c r="RQ3" s="2" t="s">
        <v>286</v>
      </c>
      <c r="RR3" s="2" t="s">
        <v>285</v>
      </c>
      <c r="RS3" s="2" t="s">
        <v>526</v>
      </c>
      <c r="RT3" s="2" t="s">
        <v>527</v>
      </c>
      <c r="RU3" s="2" t="s">
        <v>528</v>
      </c>
      <c r="RV3" s="2" t="s">
        <v>529</v>
      </c>
      <c r="RW3" s="2" t="s">
        <v>135</v>
      </c>
      <c r="RX3" s="2" t="s">
        <v>187</v>
      </c>
      <c r="RY3" s="2" t="s">
        <v>530</v>
      </c>
      <c r="RZ3" s="2" t="s">
        <v>531</v>
      </c>
      <c r="SA3" s="2" t="s">
        <v>532</v>
      </c>
      <c r="SB3" s="2" t="s">
        <v>178</v>
      </c>
      <c r="SC3" s="2" t="s">
        <v>533</v>
      </c>
      <c r="SD3" s="2" t="s">
        <v>534</v>
      </c>
      <c r="SE3" s="2" t="s">
        <v>535</v>
      </c>
      <c r="SF3" s="2" t="s">
        <v>217</v>
      </c>
      <c r="SG3" s="2" t="s">
        <v>279</v>
      </c>
      <c r="SH3" s="2" t="s">
        <v>525</v>
      </c>
      <c r="SI3" s="2" t="s">
        <v>132</v>
      </c>
      <c r="SJ3" s="2" t="s">
        <v>146</v>
      </c>
      <c r="SK3" s="2" t="s">
        <v>161</v>
      </c>
      <c r="SL3" s="2" t="s">
        <v>131</v>
      </c>
      <c r="SM3" s="2" t="s">
        <v>216</v>
      </c>
      <c r="SN3" s="2" t="s">
        <v>228</v>
      </c>
      <c r="SO3" s="2" t="s">
        <v>280</v>
      </c>
      <c r="SP3" s="2" t="s">
        <v>281</v>
      </c>
      <c r="SQ3" s="2" t="s">
        <v>282</v>
      </c>
      <c r="SR3" s="2" t="s">
        <v>283</v>
      </c>
      <c r="SS3" s="2" t="s">
        <v>46</v>
      </c>
      <c r="ST3" s="2" t="s">
        <v>286</v>
      </c>
      <c r="SU3" s="2" t="s">
        <v>285</v>
      </c>
      <c r="SV3" s="2" t="s">
        <v>526</v>
      </c>
      <c r="SW3" s="2" t="s">
        <v>527</v>
      </c>
      <c r="SX3" s="2" t="s">
        <v>528</v>
      </c>
      <c r="SY3" s="2" t="s">
        <v>529</v>
      </c>
      <c r="SZ3" s="2" t="s">
        <v>135</v>
      </c>
      <c r="TA3" s="2" t="s">
        <v>187</v>
      </c>
      <c r="TB3" s="2" t="s">
        <v>530</v>
      </c>
      <c r="TC3" s="2" t="s">
        <v>531</v>
      </c>
      <c r="TD3" s="2" t="s">
        <v>532</v>
      </c>
      <c r="TE3" s="2" t="s">
        <v>178</v>
      </c>
      <c r="TF3" s="2" t="s">
        <v>533</v>
      </c>
      <c r="TG3" s="2" t="s">
        <v>534</v>
      </c>
      <c r="TH3" s="2" t="s">
        <v>535</v>
      </c>
      <c r="TI3" s="2" t="s">
        <v>217</v>
      </c>
      <c r="TJ3" s="2" t="s">
        <v>279</v>
      </c>
      <c r="TK3" s="2" t="s">
        <v>525</v>
      </c>
      <c r="TL3" s="2" t="s">
        <v>132</v>
      </c>
      <c r="TM3" s="2" t="s">
        <v>146</v>
      </c>
      <c r="TN3" s="2" t="s">
        <v>161</v>
      </c>
      <c r="TO3" s="2" t="s">
        <v>131</v>
      </c>
      <c r="TP3" s="2" t="s">
        <v>216</v>
      </c>
      <c r="TQ3" s="2" t="s">
        <v>228</v>
      </c>
      <c r="TR3" s="2" t="s">
        <v>280</v>
      </c>
      <c r="TS3" s="2" t="s">
        <v>281</v>
      </c>
      <c r="TT3" s="2" t="s">
        <v>282</v>
      </c>
      <c r="TU3" s="2" t="s">
        <v>283</v>
      </c>
      <c r="TV3" s="2" t="s">
        <v>46</v>
      </c>
      <c r="TW3" s="2" t="s">
        <v>286</v>
      </c>
      <c r="TX3" s="2" t="s">
        <v>285</v>
      </c>
      <c r="TY3" s="2" t="s">
        <v>526</v>
      </c>
      <c r="TZ3" s="2" t="s">
        <v>527</v>
      </c>
      <c r="UA3" s="2" t="s">
        <v>528</v>
      </c>
      <c r="UB3" s="2" t="s">
        <v>529</v>
      </c>
      <c r="UC3" s="2" t="s">
        <v>135</v>
      </c>
      <c r="UD3" s="2" t="s">
        <v>187</v>
      </c>
      <c r="UE3" s="2" t="s">
        <v>530</v>
      </c>
      <c r="UF3" s="2" t="s">
        <v>531</v>
      </c>
      <c r="UG3" s="2" t="s">
        <v>532</v>
      </c>
      <c r="UH3" s="2" t="s">
        <v>178</v>
      </c>
      <c r="UI3" s="2" t="s">
        <v>533</v>
      </c>
      <c r="UJ3" s="2" t="s">
        <v>534</v>
      </c>
      <c r="UK3" s="2" t="s">
        <v>535</v>
      </c>
      <c r="UL3" s="2" t="s">
        <v>217</v>
      </c>
      <c r="UM3" s="2" t="s">
        <v>279</v>
      </c>
      <c r="UN3" s="2" t="s">
        <v>525</v>
      </c>
      <c r="UO3" s="2" t="s">
        <v>132</v>
      </c>
      <c r="UP3" s="2" t="s">
        <v>146</v>
      </c>
      <c r="UQ3" s="2" t="s">
        <v>161</v>
      </c>
      <c r="UR3" s="2" t="s">
        <v>131</v>
      </c>
      <c r="US3" s="2" t="s">
        <v>216</v>
      </c>
      <c r="UT3" s="2" t="s">
        <v>228</v>
      </c>
      <c r="UU3" s="2" t="s">
        <v>280</v>
      </c>
      <c r="UV3" s="2" t="s">
        <v>281</v>
      </c>
      <c r="UW3" s="2" t="s">
        <v>282</v>
      </c>
      <c r="UX3" s="2" t="s">
        <v>283</v>
      </c>
      <c r="UY3" s="2" t="s">
        <v>46</v>
      </c>
      <c r="UZ3" s="2" t="s">
        <v>286</v>
      </c>
      <c r="VA3" s="2" t="s">
        <v>285</v>
      </c>
      <c r="VB3" s="2" t="s">
        <v>526</v>
      </c>
      <c r="VC3" s="2" t="s">
        <v>527</v>
      </c>
      <c r="VD3" s="2" t="s">
        <v>528</v>
      </c>
      <c r="VE3" s="2" t="s">
        <v>529</v>
      </c>
      <c r="VF3" s="2" t="s">
        <v>135</v>
      </c>
      <c r="VG3" s="2" t="s">
        <v>187</v>
      </c>
      <c r="VH3" s="2" t="s">
        <v>530</v>
      </c>
      <c r="VI3" s="2" t="s">
        <v>531</v>
      </c>
      <c r="VJ3" s="2" t="s">
        <v>532</v>
      </c>
      <c r="VK3" s="2" t="s">
        <v>178</v>
      </c>
      <c r="VL3" s="2" t="s">
        <v>533</v>
      </c>
      <c r="VM3" s="2" t="s">
        <v>534</v>
      </c>
      <c r="VN3" s="2" t="s">
        <v>535</v>
      </c>
      <c r="VO3" s="2" t="s">
        <v>217</v>
      </c>
      <c r="VP3" s="2" t="s">
        <v>279</v>
      </c>
      <c r="VQ3" s="2" t="s">
        <v>525</v>
      </c>
      <c r="VR3" s="2" t="s">
        <v>132</v>
      </c>
      <c r="VS3" s="2" t="s">
        <v>146</v>
      </c>
      <c r="VT3" s="2" t="s">
        <v>161</v>
      </c>
      <c r="VU3" s="2" t="s">
        <v>131</v>
      </c>
      <c r="VV3" s="2" t="s">
        <v>216</v>
      </c>
      <c r="VW3" s="2" t="s">
        <v>228</v>
      </c>
      <c r="VX3" s="2" t="s">
        <v>280</v>
      </c>
      <c r="VY3" s="2" t="s">
        <v>281</v>
      </c>
      <c r="VZ3" s="2" t="s">
        <v>282</v>
      </c>
      <c r="WA3" s="2" t="s">
        <v>283</v>
      </c>
      <c r="WB3" s="2" t="s">
        <v>46</v>
      </c>
      <c r="WC3" s="2" t="s">
        <v>286</v>
      </c>
      <c r="WD3" s="2" t="s">
        <v>285</v>
      </c>
      <c r="WE3" s="2" t="s">
        <v>526</v>
      </c>
      <c r="WF3" s="2" t="s">
        <v>527</v>
      </c>
      <c r="WG3" s="2" t="s">
        <v>528</v>
      </c>
      <c r="WH3" s="2" t="s">
        <v>529</v>
      </c>
      <c r="WI3" s="2" t="s">
        <v>135</v>
      </c>
      <c r="WJ3" s="2" t="s">
        <v>187</v>
      </c>
      <c r="WK3" s="2" t="s">
        <v>530</v>
      </c>
      <c r="WL3" s="2" t="s">
        <v>531</v>
      </c>
      <c r="WM3" s="2" t="s">
        <v>532</v>
      </c>
      <c r="WN3" s="2" t="s">
        <v>178</v>
      </c>
      <c r="WO3" s="2" t="s">
        <v>533</v>
      </c>
      <c r="WP3" s="2" t="s">
        <v>534</v>
      </c>
      <c r="WQ3" s="2" t="s">
        <v>535</v>
      </c>
      <c r="WR3" s="2" t="s">
        <v>217</v>
      </c>
    </row>
    <row r="4" spans="1:616">
      <c r="A4" s="2">
        <f>云配队!$F$9</f>
        <v>80</v>
      </c>
      <c r="B4" s="2">
        <f>6*A4+600</f>
        <v>1080</v>
      </c>
      <c r="C4" s="2">
        <f>6*A6+600</f>
        <v>1092</v>
      </c>
      <c r="D4" s="2" t="str">
        <f>云配队!F4</f>
        <v>娜娜莉</v>
      </c>
      <c r="E4" s="2">
        <f>MATCH($D4,角色!$A$3:$A$18,0)</f>
        <v>5</v>
      </c>
      <c r="F4" s="2" t="str">
        <f>VLOOKUP($D4,配装!$A$3:$B$18,2,FALSE)</f>
        <v>灵</v>
      </c>
      <c r="G4" s="2">
        <f>MATCH(云配队!G4,弧盘!$A$3:$A$51,0)</f>
        <v>32</v>
      </c>
      <c r="H4" s="2">
        <f>MATCH(云配队!H4,卡带!$A$3:$A$14,0)</f>
        <v>5</v>
      </c>
      <c r="I4" s="2" cm="1">
        <f t="array" ref="I4">INDEX(配装!D$3:D$18,$E4)</f>
        <v>1206</v>
      </c>
      <c r="J4" s="3" cm="1">
        <f t="array" ref="J4">INDEX(配装!E$3:E$18,$E4)+INDEX(弧盘!$R$3:$R$51,G4)+INDEX(卡带!$O$3:$O$14,H4)</f>
        <v>0.3375</v>
      </c>
      <c r="K4" s="2" cm="1">
        <f t="array" ref="K4">INDEX(配装!F$3:F$18,$E4)</f>
        <v>420</v>
      </c>
      <c r="L4" s="2" cm="1">
        <f t="array" ref="L4">INDEX(配装!H$3:H$18,$E4)</f>
        <v>15998.4</v>
      </c>
      <c r="M4" s="2" cm="1">
        <f t="array" ref="M4">INDEX(配装!I$3:I$18,$E4)</f>
        <v>0</v>
      </c>
      <c r="N4" s="2" cm="1">
        <f t="array" ref="N4">INDEX(配装!J$3:J$18,$E4)</f>
        <v>5200</v>
      </c>
      <c r="O4" s="2" cm="1">
        <f t="array" ref="O4">INDEX(配装!L$3:L$18,$E4)</f>
        <v>909</v>
      </c>
      <c r="P4" s="2" cm="1">
        <f t="array" ref="P4">INDEX(配装!M$3:M$18,$E4)</f>
        <v>0</v>
      </c>
      <c r="Q4" s="2" cm="1">
        <f t="array" ref="Q4">INDEX(配装!N$3:N$18,$E4)</f>
        <v>0</v>
      </c>
      <c r="R4" s="4" cm="1">
        <f t="array" ref="R4">INDEX(配装!P$3:P$18,$E4)+INDEX(弧盘!P$3:P$51,$G4)+INDEX(卡带!M$3:M$14,$H4)</f>
        <v>0.69</v>
      </c>
      <c r="S4" s="4" cm="1">
        <f t="array" ref="S4">INDEX(配装!Q$3:Q$18,$E4)+INDEX(弧盘!Q$3:Q$51,$G4)+INDEX(卡带!N$3:N$14,$H4)</f>
        <v>1.36</v>
      </c>
      <c r="T4" s="5" cm="1">
        <f t="array" ref="T4">INDEX(配装!S$3:S$18,$E4)</f>
        <v>0</v>
      </c>
      <c r="U4" s="5" cm="1">
        <f t="array" ref="U4">INDEX(配装!T$3:T$18,$E4)+INDEX(弧盘!V$3:V$51,$G4)</f>
        <v>0</v>
      </c>
      <c r="V4" s="5" cm="1">
        <f t="array" ref="V4">INDEX(配装!U$3:U$18,$E4)+INDEX(弧盘!W$3:W$51,$G4)+IF(T10&gt;=3,126,0)</f>
        <v>0</v>
      </c>
      <c r="W4" s="4" cm="1">
        <f t="array" ref="W4">INDEX(角色!W$3:W$18,$E4)+INDEX(弧盘!X$3:X$51,$G4)+INDEX(卡带!Q$3:Q$15,$H4)+INDEX(配装!$AG$3:$AG$18,$E4)</f>
        <v>0.15</v>
      </c>
      <c r="X4" s="4" cm="1">
        <f t="array" ref="X4">INDEX(配装!$R$3:$R$18,E4)+INDEX(弧盘!Y$3:Y$51,$G4)+INDEX(卡带!R$3:R$15,$H4)</f>
        <v>0.475</v>
      </c>
      <c r="Y4" s="4" cm="1">
        <f t="array" ref="Y4">INDEX(角色!Y$3:Y$18,$E4)+INDEX(弧盘!Z$3:Z$51,$G4)+INDEX(卡带!S$3:S$15,$H4)</f>
        <v>0.15</v>
      </c>
      <c r="Z4" s="4" cm="1">
        <f t="array" ref="Z4">INDEX(角色!Z$3:Z$18,$E4)+INDEX(弧盘!AA$3:AA$51,$G4)+INDEX(卡带!T$3:T$15,$H4)</f>
        <v>0</v>
      </c>
      <c r="AA4" s="4" cm="1">
        <f t="array" ref="AA4">INDEX(角色!AA$3:AA$18,$E4)+INDEX(弧盘!AB$3:AB$51,$G4)+INDEX(卡带!U$3:U$15,$H4)</f>
        <v>0.1</v>
      </c>
      <c r="AB4" s="4" cm="1">
        <f t="array" ref="AB4">INDEX(角色!AB$3:AB$18,$E4)+INDEX(弧盘!AC$3:AC$51,$G4)+INDEX(卡带!V$3:V$15,$H4)+INDEX(卡带!$I$3:$I$14,$H$4)</f>
        <v>0</v>
      </c>
      <c r="AC4" s="4" cm="1">
        <f t="array" ref="AC4">INDEX(角色!AC$3:AC$18,$E4)+INDEX(弧盘!AD$3:AD$51,$G4)</f>
        <v>0</v>
      </c>
      <c r="AD4" s="4" cm="1">
        <f t="array" ref="AD4">INDEX(角色!AD$3:AD$18,$E4)+INDEX(弧盘!AE$3:AE$51,$G4)</f>
        <v>0</v>
      </c>
      <c r="AE4" s="4" cm="1">
        <f t="array" ref="AE4">INDEX(角色!AE$3:AE$18,$E4)+INDEX(弧盘!AF$3:AF$51,$G4)</f>
        <v>0</v>
      </c>
      <c r="AF4" s="4" cm="1">
        <f t="array" ref="AF4">INDEX(角色!R$3:R$18,$E4)+INDEX(卡带!K$3:K$14,$H4)</f>
        <v>0</v>
      </c>
      <c r="AG4" s="4" cm="1">
        <f t="array" ref="AG4">INDEX(角色!S$3:S$18,$E4)+INDEX(卡带!L$3:L$14,$H4)</f>
        <v>0</v>
      </c>
      <c r="AH4" s="2" cm="1">
        <f t="array" ref="AH4">INDEX(配装!$AA$3:$AA$18,E4)</f>
        <v>1.99900462710443</v>
      </c>
      <c r="AK4" s="2" cm="1">
        <f t="array" ref="AK4">INDEX(云配队!$J4:$AC4,1,AK$1)</f>
        <v>0</v>
      </c>
      <c r="AL4" s="2" cm="1">
        <f t="array" ref="AL4">IFERROR(MATCH(1,(动作!$A$3:$A$111=$D4)*EXACT(动作!$B$3:$B$111,AK4),0),1)</f>
        <v>1</v>
      </c>
      <c r="AM4" s="2">
        <f>$I4*(1+$J4+AM$25)+$K4+AN$25</f>
        <v>2123.475</v>
      </c>
      <c r="AN4" s="2">
        <f>$L4*(1+$M4+AO$25)+$N4+AP$25</f>
        <v>21198.4</v>
      </c>
      <c r="AO4" s="2">
        <f>$O4*(1+$P4+AQ$25)+$Q4+AR$25</f>
        <v>909</v>
      </c>
      <c r="AP4" s="2">
        <f>$U4+AS$25</f>
        <v>0</v>
      </c>
      <c r="AQ4" s="2" t="str" cm="1">
        <f t="array" ref="AQ4">INDEX(动作!$C$3:$C$113,AL4)</f>
        <v>无</v>
      </c>
      <c r="AR4" s="2" cm="1">
        <f t="array" ref="AR4">INDEX(动作!$D$3:$D$113,AL4)</f>
        <v>0</v>
      </c>
      <c r="AS4" s="2" cm="1">
        <f t="array" ref="AS4">INDEX(动作!$E$3:$E$113,AL4)*$AH4</f>
        <v>0</v>
      </c>
      <c r="AT4" s="2" cm="1">
        <f t="array" ref="AT4">INDEX(动作!$F$3:$F$113,AL4)*$AH4</f>
        <v>0</v>
      </c>
      <c r="AU4" s="2" cm="1">
        <f t="array" ref="AU4">INDEX(动作!$G$3:$G$113,AL4)*$AH4</f>
        <v>0</v>
      </c>
      <c r="AV4" s="2" cm="1">
        <f t="array" ref="AV4">INDEX(动作!$H$3:$H$113,AL4)</f>
        <v>0</v>
      </c>
      <c r="AW4" s="2" cm="1">
        <f t="array" ref="AW4">INDEX(动作!$L$3:$L$113,AL4)*(1+AT$25)*AK$8</f>
        <v>0</v>
      </c>
      <c r="AX4" s="2" cm="1">
        <f t="array" ref="AX4">INDEX(动作!$K$3:$K$113,AL4)*AK$8</f>
        <v>0</v>
      </c>
      <c r="AY4" s="2" cm="1">
        <f t="array" ref="AY4">INDEX(动作!$J$3:$J$113,AL4)*AK$8</f>
        <v>0</v>
      </c>
      <c r="AZ4" s="2" cm="1">
        <f t="array" ref="AZ4">INDEX(动作!$N$3:$N$113,AL4)*AK$8</f>
        <v>0</v>
      </c>
      <c r="BA4" s="5">
        <f>(SUM(AY$4:AY$7)*(0.6+AV$25)+AY4*(0.4-AV$25))*(1+$T4+AU$25)+AZ4</f>
        <v>5.2806</v>
      </c>
      <c r="BB4" s="5">
        <f>AM4*AS4%+AN4*AT4%+AO4*AU4%+AV4</f>
        <v>0</v>
      </c>
      <c r="BC4" s="3">
        <f ca="1">IFERROR(OFFSET($X4,0,MATCH(AQ4,$Y$3:$AA$3,0)),0)+IF(AR4="心灵",$AB4,$X4)+IF(AR4="附着",$AC4,0)+IF(AR4="追击",$AD4,0)+BC$25+$W4+IF(AK$28,$AE$4,0)+AY9</f>
        <v>0.625</v>
      </c>
      <c r="BD4" s="3">
        <f>IF(AR4="DOT",50%,MIN($R4+BD$25+AW9,1))</f>
        <v>0.69</v>
      </c>
      <c r="BE4" s="3">
        <f>$S4+BE$25+AX9</f>
        <v>1.36</v>
      </c>
      <c r="BF4" s="5">
        <f>1+BD4*BE4</f>
        <v>1.9384</v>
      </c>
      <c r="BG4" s="3">
        <f>1-$B$6+BG$25+IF($C$6=$F4,$C$8,0)+$AG4+BA9</f>
        <v>0.8</v>
      </c>
      <c r="BH4" s="3">
        <f>IF(BG4&lt;1,BG4,(BG4-1)*0.925+1)</f>
        <v>0.8</v>
      </c>
      <c r="BI4" s="3">
        <f>MIN($AF4+BI$25+AZ9,1)</f>
        <v>0.1675</v>
      </c>
      <c r="BJ4" s="2">
        <f>IF(AR4="心灵",1,$B$4/($B$4+$C$4*(1-BI4)))</f>
        <v>0.542961856929551</v>
      </c>
      <c r="BK4" s="2" cm="1">
        <f t="array" ref="BK4">INDEX(动作!$I$3:$I$113,AL4)</f>
        <v>0</v>
      </c>
      <c r="BL4" s="6">
        <f ca="1">BB4*(1+BC4)*BF4*BH4*BJ4*BC$28*(1+BJ$25)</f>
        <v>0</v>
      </c>
      <c r="BM4" s="6">
        <f ca="1">BL4*AK$8</f>
        <v>0</v>
      </c>
      <c r="BN4" s="2" cm="1">
        <f t="array" ref="BN4">INDEX(云配队!$J4:$AC4,1,BN$1)</f>
        <v>0</v>
      </c>
      <c r="BO4" s="2" cm="1">
        <f t="array" ref="BO4">IFERROR(MATCH(1,(动作!$A$3:$A$111=$D4)*EXACT(动作!$B$3:$B$111,BN4),0),1)</f>
        <v>1</v>
      </c>
      <c r="BP4" s="2">
        <f>$I4*(1+$J4+BP$25)+$K4+BQ$25</f>
        <v>2123.475</v>
      </c>
      <c r="BQ4" s="2">
        <f>$L4*(1+$M4+BR$25)+$N4+BS$25</f>
        <v>21198.4</v>
      </c>
      <c r="BR4" s="2">
        <f>$O4*(1+$P4+BT$25)+$Q4+BU$25</f>
        <v>909</v>
      </c>
      <c r="BS4" s="2">
        <f>$U4+BV$25</f>
        <v>0</v>
      </c>
      <c r="BT4" s="2" t="str" cm="1">
        <f t="array" ref="BT4">INDEX(动作!$C$3:$C$113,BO4)</f>
        <v>无</v>
      </c>
      <c r="BU4" s="2" cm="1">
        <f t="array" ref="BU4">INDEX(动作!$D$3:$D$113,BO4)</f>
        <v>0</v>
      </c>
      <c r="BV4" s="2" cm="1">
        <f t="array" ref="BV4">INDEX(动作!$E$3:$E$113,BO4)*$AH4</f>
        <v>0</v>
      </c>
      <c r="BW4" s="2" cm="1">
        <f t="array" ref="BW4">INDEX(动作!$F$3:$F$113,BO4)*$AH4</f>
        <v>0</v>
      </c>
      <c r="BX4" s="2" cm="1">
        <f t="array" ref="BX4">INDEX(动作!$G$3:$G$113,BO4)*$AH4</f>
        <v>0</v>
      </c>
      <c r="BY4" s="2" cm="1">
        <f t="array" ref="BY4">INDEX(动作!$H$3:$H$113,BO4)</f>
        <v>0</v>
      </c>
      <c r="BZ4" s="2" cm="1">
        <f t="array" ref="BZ4">INDEX(动作!$L$3:$L$113,BO4)*(1+BW$25)*BN$8</f>
        <v>0</v>
      </c>
      <c r="CA4" s="2" cm="1">
        <f t="array" ref="CA4">INDEX(动作!$K$3:$K$113,BO4)*BN$8</f>
        <v>0</v>
      </c>
      <c r="CB4" s="2" cm="1">
        <f t="array" ref="CB4">INDEX(动作!$J$3:$J$113,BO4)*BN$8</f>
        <v>0</v>
      </c>
      <c r="CC4" s="2" cm="1">
        <f t="array" ref="CC4">INDEX(动作!$N$3:$N$113,BO4)*BN$8</f>
        <v>0</v>
      </c>
      <c r="CD4" s="5">
        <f>(SUM(CB$4:CB$7)*(0.6+BY$25)+CB4*(0.4-BY$25))*(1+$T4+BX$25)+CC4</f>
        <v>0</v>
      </c>
      <c r="CE4" s="5">
        <f>BP4*BV4%+BQ4*BW4%+BR4*BX4%+BY4</f>
        <v>0</v>
      </c>
      <c r="CF4" s="3">
        <f ca="1">IFERROR(OFFSET($X4,0,MATCH(BT4,$Y$3:$AA$3,0)),0)+IF(BU4="心灵",$AB4,$X4)+IF(BU4="附着",$AC4,0)+IF(BU4="追击",$AD4,0)+CF$25+$W4+IF(BN$28,$AE$4,0)+CB9</f>
        <v>0.625</v>
      </c>
      <c r="CG4" s="3">
        <f>IF(BU4="DOT",50%,MIN($R4+CG$25+BZ9,1))</f>
        <v>0.69</v>
      </c>
      <c r="CH4" s="3">
        <f>$S4+CH$25+CA9</f>
        <v>1.36</v>
      </c>
      <c r="CI4" s="5">
        <f>1+CG4*CH4</f>
        <v>1.9384</v>
      </c>
      <c r="CJ4" s="3">
        <f>1-$B$6+CJ$25+IF($C$6=$F4,$C$8,0)+$AG4+CD9</f>
        <v>0.8</v>
      </c>
      <c r="CK4" s="3">
        <f>IF(CJ4&lt;1,CJ4,(CJ4-1)*0.925+1)</f>
        <v>0.8</v>
      </c>
      <c r="CL4" s="3">
        <f>MIN($AF4+CL$25+CC9,1)</f>
        <v>0.25</v>
      </c>
      <c r="CM4" s="2">
        <f>IF(BU4="心灵",1,$B$4/($B$4+$C$4*(1-CL4)))</f>
        <v>0.568720379146919</v>
      </c>
      <c r="CN4" s="2" cm="1">
        <f t="array" ref="CN4">INDEX(动作!$I$3:$I$113,BO4)</f>
        <v>0</v>
      </c>
      <c r="CO4" s="6">
        <f ca="1">CE4*(1+CF4)*CI4*CK4*CM4*CF$28*(1+CM$25)</f>
        <v>0</v>
      </c>
      <c r="CP4" s="6">
        <f ca="1">CO4*BN$8</f>
        <v>0</v>
      </c>
      <c r="CQ4" s="2" t="str" cm="1">
        <f t="array" ref="CQ4">INDEX(云配队!$J4:$AC4,1,CQ$1)</f>
        <v>e</v>
      </c>
      <c r="CR4" s="2" cm="1">
        <f t="array" ref="CR4">IFERROR(MATCH(1,(动作!$A$3:$A$111=$D4)*EXACT(动作!$B$3:$B$111,CQ4),0),1)</f>
        <v>38</v>
      </c>
      <c r="CS4" s="2">
        <f>$I4*(1+$J4+CS$25)+$K4+CT$25</f>
        <v>2123.475</v>
      </c>
      <c r="CT4" s="2">
        <f>$L4*(1+$M4+CU$25)+$N4+CV$25</f>
        <v>21198.4</v>
      </c>
      <c r="CU4" s="2">
        <f>$O4*(1+$P4+CW$25)+$Q4+CX$25</f>
        <v>909</v>
      </c>
      <c r="CV4" s="2">
        <f>$U4+CY$25</f>
        <v>0</v>
      </c>
      <c r="CW4" s="2" t="str" cm="1">
        <f t="array" ref="CW4">INDEX(动作!$C$3:$C$113,CR4)</f>
        <v>E</v>
      </c>
      <c r="CX4" s="2" cm="1">
        <f t="array" ref="CX4">INDEX(动作!$D$3:$D$113,CR4)</f>
        <v>0</v>
      </c>
      <c r="CY4" s="2" cm="1">
        <f t="array" ref="CY4">INDEX(动作!$E$3:$E$113,CR4)*$AH4</f>
        <v>999.502313552217</v>
      </c>
      <c r="CZ4" s="2" cm="1">
        <f t="array" ref="CZ4">INDEX(动作!$F$3:$F$113,CR4)*$AH4</f>
        <v>0</v>
      </c>
      <c r="DA4" s="2" cm="1">
        <f t="array" ref="DA4">INDEX(动作!$G$3:$G$113,CR4)*$AH4</f>
        <v>0</v>
      </c>
      <c r="DB4" s="2" cm="1">
        <f t="array" ref="DB4">INDEX(动作!$H$3:$H$113,CR4)</f>
        <v>0</v>
      </c>
      <c r="DC4" s="2" cm="1">
        <f t="array" ref="DC4">INDEX(动作!$L$3:$L$113,CR4)*(1+CZ$25)*CQ$8</f>
        <v>1.3</v>
      </c>
      <c r="DD4" s="2" cm="1">
        <f t="array" ref="DD4">INDEX(动作!$K$3:$K$113,CR4)*CQ$8</f>
        <v>10.4</v>
      </c>
      <c r="DE4" s="2" cm="1">
        <f t="array" ref="DE4">INDEX(动作!$J$3:$J$113,CR4)*CQ$8</f>
        <v>6.3</v>
      </c>
      <c r="DF4" s="2" cm="1">
        <f t="array" ref="DF4">INDEX(动作!$N$3:$N$113,CR4)*CQ$8</f>
        <v>0</v>
      </c>
      <c r="DG4" s="5">
        <f>(SUM(DE$4:DE$7)*(0.6+DB$25)+DE4*(0.4-DB$25))*(1+$T4+DA$25)+DF4</f>
        <v>6.3</v>
      </c>
      <c r="DH4" s="5">
        <f>CS4*CY4%+CT4*CZ4%+CU4*DA4%+DB4</f>
        <v>21224.1817527029</v>
      </c>
      <c r="DI4" s="3">
        <f ca="1">IFERROR(OFFSET($X4,0,MATCH(CW4,$Y$3:$AA$3,0)),0)+IF(CX4="心灵",$AB4,$X4)+IF(CX4="附着",$AC4,0)+IF(CX4="追击",$AD4,0)+DI$25+$W4+IF(CQ$28,$AE$4,0)+DE9</f>
        <v>0.625</v>
      </c>
      <c r="DJ4" s="3">
        <f>IF(CX4="DOT",50%,MIN($R4+DJ$25+DC9,1))</f>
        <v>0.69</v>
      </c>
      <c r="DK4" s="3">
        <f>$S4+DK$25+DD9</f>
        <v>1.66</v>
      </c>
      <c r="DL4" s="5">
        <f>1+DJ4*DK4</f>
        <v>2.1454</v>
      </c>
      <c r="DM4" s="3">
        <f>1-$B$6+DM$25+IF($C$6=$F4,$C$8,0)+$AG4+DG9</f>
        <v>0.8</v>
      </c>
      <c r="DN4" s="3">
        <f>IF(DM4&lt;1,DM4,(DM4-1)*0.925+1)</f>
        <v>0.8</v>
      </c>
      <c r="DO4" s="3">
        <f>MIN($AF4+DO$25+DF9,1)</f>
        <v>0</v>
      </c>
      <c r="DP4" s="2">
        <f>IF(CX4="心灵",1,$B$4/($B$4+$C$4*(1-DO4)))</f>
        <v>0.497237569060773</v>
      </c>
      <c r="DQ4" s="2" cm="1">
        <f t="array" ref="DQ4">INDEX(动作!$I$3:$I$113,CR4)</f>
        <v>0</v>
      </c>
      <c r="DR4" s="6">
        <f ca="1">DH4*(1+DI4)*DL4*DN4*DP4*DI$28*(1+DP$25)</f>
        <v>29433.812515321</v>
      </c>
      <c r="DS4" s="6">
        <f ca="1">DR4*CQ$8</f>
        <v>29433.812515321</v>
      </c>
      <c r="DT4" s="2" t="str" cm="1">
        <f t="array" ref="DT4">INDEX(云配队!$J4:$AC4,1,DT$1)</f>
        <v>q</v>
      </c>
      <c r="DU4" s="2" cm="1">
        <f t="array" ref="DU4">IFERROR(MATCH(1,(动作!$A$3:$A$111=$D4)*EXACT(动作!$B$3:$B$111,DT4),0),1)</f>
        <v>40</v>
      </c>
      <c r="DV4" s="2">
        <f>$I4*(1+$J4+DV$25)+$K4+DW$25</f>
        <v>2123.475</v>
      </c>
      <c r="DW4" s="2">
        <f>$L4*(1+$M4+DX$25)+$N4+DY$25</f>
        <v>21198.4</v>
      </c>
      <c r="DX4" s="2">
        <f>$O4*(1+$P4+DZ$25)+$Q4+EA$25</f>
        <v>909</v>
      </c>
      <c r="DY4" s="2">
        <f>$U4+EB$25</f>
        <v>0</v>
      </c>
      <c r="DZ4" s="2" t="str" cm="1">
        <f t="array" ref="DZ4">INDEX(动作!$C$3:$C$113,DU4)</f>
        <v>Q</v>
      </c>
      <c r="EA4" s="2" cm="1">
        <f t="array" ref="EA4">INDEX(动作!$D$3:$D$113,DU4)</f>
        <v>0</v>
      </c>
      <c r="EB4" s="2" cm="1">
        <f t="array" ref="EB4">INDEX(动作!$E$3:$E$113,DU4)*$AH4</f>
        <v>1999.00462710443</v>
      </c>
      <c r="EC4" s="2" cm="1">
        <f t="array" ref="EC4">INDEX(动作!$F$3:$F$113,DU4)*$AH4</f>
        <v>0</v>
      </c>
      <c r="ED4" s="2" cm="1">
        <f t="array" ref="ED4">INDEX(动作!$G$3:$G$113,DU4)*$AH4</f>
        <v>0</v>
      </c>
      <c r="EE4" s="2" cm="1">
        <f t="array" ref="EE4">INDEX(动作!$H$3:$H$113,DU4)</f>
        <v>0</v>
      </c>
      <c r="EF4" s="2" cm="1">
        <f t="array" ref="EF4">INDEX(动作!$L$3:$L$113,DU4)*(1+EC$25)*DT$8</f>
        <v>1.125</v>
      </c>
      <c r="EG4" s="2" cm="1">
        <f t="array" ref="EG4">INDEX(动作!$K$3:$K$113,DU4)*DT$8</f>
        <v>0</v>
      </c>
      <c r="EH4" s="2" cm="1">
        <f t="array" ref="EH4">INDEX(动作!$J$3:$J$113,DU4)*DT$8</f>
        <v>0</v>
      </c>
      <c r="EI4" s="2" cm="1">
        <f t="array" ref="EI4">INDEX(动作!$N$3:$N$113,DU4)*DT$8</f>
        <v>0</v>
      </c>
      <c r="EJ4" s="5">
        <f>(SUM(EH$4:EH$7)*(0.6+EE$25)+EH4*(0.4-EE$25))*(1+$T4+ED$25)+EI4</f>
        <v>0</v>
      </c>
      <c r="EK4" s="5">
        <f>DV4*EB4%+DW4*EC4%+DX4*ED4%+EE4</f>
        <v>42448.3635054059</v>
      </c>
      <c r="EL4" s="3">
        <f ca="1">IFERROR(OFFSET($X4,0,MATCH(DZ4,$Y$3:$AA$3,0)),0)+IF(EA4="心灵",$AB4,$X4)+IF(EA4="附着",$AC4,0)+IF(EA4="追击",$AD4,0)+EL$25+$W4+IF(DT$28,$AE$4,0)+EH9</f>
        <v>0.825</v>
      </c>
      <c r="EM4" s="3">
        <f>IF(EA4="DOT",50%,MIN($R4+EM$25+EF9,1))</f>
        <v>0.69</v>
      </c>
      <c r="EN4" s="3">
        <f>$S4+EN$25+EG9</f>
        <v>1.66</v>
      </c>
      <c r="EO4" s="5">
        <f>1+EM4*EN4</f>
        <v>2.1454</v>
      </c>
      <c r="EP4" s="3">
        <f>1-$B$6+EP$25+IF($C$6=$F4,$C$8,0)+$AG4+EJ9</f>
        <v>0.8</v>
      </c>
      <c r="EQ4" s="3">
        <f>IF(EP4&lt;1,EP4,(EP4-1)*0.925+1)</f>
        <v>0.8</v>
      </c>
      <c r="ER4" s="3">
        <f>MIN($AF4+ER$25+EI9,1)</f>
        <v>0</v>
      </c>
      <c r="ES4" s="2">
        <f>IF(EA4="心灵",1,$B$4/($B$4+$C$4*(1-ER4)))</f>
        <v>0.497237569060773</v>
      </c>
      <c r="ET4" s="2" cm="1">
        <f t="array" ref="ET4">INDEX(动作!$I$3:$I$113,DU4)</f>
        <v>0</v>
      </c>
      <c r="EU4" s="6">
        <f ca="1">EK4*(1+EL4)*EO4*EQ4*ES4*EL$28*(1+ES$25)</f>
        <v>66112.8711882597</v>
      </c>
      <c r="EV4" s="6">
        <f ca="1">EU4*DT$8</f>
        <v>49584.6533911947</v>
      </c>
      <c r="EW4" s="2" t="str" cm="1">
        <f t="array" ref="EW4">INDEX(云配队!$J4:$AC4,1,EW$1)</f>
        <v>5a</v>
      </c>
      <c r="EX4" s="2" cm="1">
        <f t="array" ref="EX4">IFERROR(MATCH(1,(动作!$A$3:$A$111=$D4)*EXACT(动作!$B$3:$B$111,EW4),0),1)</f>
        <v>30</v>
      </c>
      <c r="EY4" s="2">
        <f>$I4*(1+$J4+EY$25)+$K4+EZ$25</f>
        <v>2123.475</v>
      </c>
      <c r="EZ4" s="2">
        <f>$L4*(1+$M4+FA$25)+$N4+FB$25</f>
        <v>21198.4</v>
      </c>
      <c r="FA4" s="2">
        <f>$O4*(1+$P4+FC$25)+$Q4+FD$25</f>
        <v>909</v>
      </c>
      <c r="FB4" s="2">
        <f>$U4+FE$25</f>
        <v>0</v>
      </c>
      <c r="FC4" s="2" t="str" cm="1">
        <f t="array" ref="FC4">INDEX(动作!$C$3:$C$113,EX4)</f>
        <v>普攻</v>
      </c>
      <c r="FD4" s="2" cm="1">
        <f t="array" ref="FD4">INDEX(动作!$D$3:$D$113,EX4)</f>
        <v>0</v>
      </c>
      <c r="FE4" s="2" cm="1">
        <f t="array" ref="FE4">INDEX(动作!$E$3:$E$113,EX4)*$AH4</f>
        <v>863.969799834536</v>
      </c>
      <c r="FF4" s="2" cm="1">
        <f t="array" ref="FF4">INDEX(动作!$F$3:$F$113,EX4)*$AH4</f>
        <v>0</v>
      </c>
      <c r="FG4" s="2" cm="1">
        <f t="array" ref="FG4">INDEX(动作!$G$3:$G$113,EX4)*$AH4</f>
        <v>0</v>
      </c>
      <c r="FH4" s="2" cm="1">
        <f t="array" ref="FH4">INDEX(动作!$H$3:$H$113,EX4)</f>
        <v>0</v>
      </c>
      <c r="FI4" s="2" cm="1">
        <f t="array" ref="FI4">INDEX(动作!$L$3:$L$113,EX4)*(1+FF$25)*EW$8</f>
        <v>6.598</v>
      </c>
      <c r="FJ4" s="2" cm="1">
        <f t="array" ref="FJ4">INDEX(动作!$K$3:$K$113,EX4)*EW$8</f>
        <v>55.4</v>
      </c>
      <c r="FK4" s="2" cm="1">
        <f t="array" ref="FK4">INDEX(动作!$J$3:$J$113,EX4)*EW$8</f>
        <v>33.198</v>
      </c>
      <c r="FL4" s="2" cm="1">
        <f t="array" ref="FL4">INDEX(动作!$N$3:$N$113,EX4)*EW$8</f>
        <v>0</v>
      </c>
      <c r="FM4" s="5">
        <f>(SUM(FK$4:FK$7)*(0.6+FH$25)+FK4*(0.4-FH$25))*(1+$T4+FG$25)+FL4</f>
        <v>33.198</v>
      </c>
      <c r="FN4" s="5">
        <f>EY4*FE4%+EZ4*FF4%+FA4*FG4%+FH4</f>
        <v>18346.1827070364</v>
      </c>
      <c r="FO4" s="3">
        <f ca="1">IFERROR(OFFSET($X4,0,MATCH(FC4,$Y$3:$AA$3,0)),0)+IF(FD4="心灵",$AB4,$X4)+IF(FD4="附着",$AC4,0)+IF(FD4="追击",$AD4,0)+FO$25+$W4+IF(EW$28,$AE$4,0)+FK9</f>
        <v>0.9625</v>
      </c>
      <c r="FP4" s="3">
        <f>IF(FD4="DOT",50%,MIN($R4+FP$25+FI9,1))</f>
        <v>0.69</v>
      </c>
      <c r="FQ4" s="3">
        <f>$S4+FQ$25+FJ9</f>
        <v>1.66</v>
      </c>
      <c r="FR4" s="5">
        <f>1+FP4*FQ4</f>
        <v>2.1454</v>
      </c>
      <c r="FS4" s="3">
        <f>1-$B$6+FS$25+IF($C$6=$F4,$C$8,0)+$AG4+FM9</f>
        <v>0.8</v>
      </c>
      <c r="FT4" s="3">
        <f>IF(FS4&lt;1,FS4,(FS4-1)*0.925+1)</f>
        <v>0.8</v>
      </c>
      <c r="FU4" s="3">
        <f>MIN($AF4+FU$25+FL9,1)</f>
        <v>0</v>
      </c>
      <c r="FV4" s="2">
        <f>IF(FD4="心灵",1,$B$4/($B$4+$C$4*(1-FU4)))</f>
        <v>0.497237569060773</v>
      </c>
      <c r="FW4" s="2" cm="1">
        <f t="array" ref="FW4">INDEX(动作!$I$3:$I$113,EX4)</f>
        <v>3.85</v>
      </c>
      <c r="FX4" s="6">
        <f ca="1">FN4*(1+FO4)*FR4*FT4*FV4*FO$28*(1+FV$25)</f>
        <v>30726.8172577249</v>
      </c>
      <c r="FY4" s="6">
        <f ca="1">FX4*EW$8</f>
        <v>61453.6345154497</v>
      </c>
      <c r="FZ4" s="2" t="str" cm="1">
        <f t="array" ref="FZ4">INDEX(云配队!$J4:$AC4,1,FZ$1)</f>
        <v>5a副手</v>
      </c>
      <c r="GA4" s="2" cm="1">
        <f t="array" ref="GA4">IFERROR(MATCH(1,(动作!$A$3:$A$111=$D4)*EXACT(动作!$B$3:$B$111,FZ4),0),1)</f>
        <v>31</v>
      </c>
      <c r="GB4" s="2">
        <f>$I4*(1+$J4+GB$25)+$K4+GC$25</f>
        <v>2123.475</v>
      </c>
      <c r="GC4" s="2">
        <f>$L4*(1+$M4+GD$25)+$N4+GE$25</f>
        <v>21198.4</v>
      </c>
      <c r="GD4" s="2">
        <f>$O4*(1+$P4+GF$25)+$Q4+GG$25</f>
        <v>909</v>
      </c>
      <c r="GE4" s="2">
        <f>$U4+GH$25</f>
        <v>0</v>
      </c>
      <c r="GF4" s="2" t="str" cm="1">
        <f t="array" ref="GF4">INDEX(动作!$C$3:$C$113,GA4)</f>
        <v>普攻</v>
      </c>
      <c r="GG4" s="2" t="str" cm="1">
        <f t="array" ref="GG4">INDEX(动作!$D$3:$D$113,GA4)</f>
        <v>追击</v>
      </c>
      <c r="GH4" s="2" cm="1">
        <f t="array" ref="GH4">INDEX(动作!$E$3:$E$113,GA4)*$AH4</f>
        <v>659.671526944463</v>
      </c>
      <c r="GI4" s="2" cm="1">
        <f t="array" ref="GI4">INDEX(动作!$F$3:$F$113,GA4)*$AH4</f>
        <v>0</v>
      </c>
      <c r="GJ4" s="2" cm="1">
        <f t="array" ref="GJ4">INDEX(动作!$G$3:$G$113,GA4)*$AH4</f>
        <v>0</v>
      </c>
      <c r="GK4" s="2" cm="1">
        <f t="array" ref="GK4">INDEX(动作!$H$3:$H$113,GA4)</f>
        <v>0</v>
      </c>
      <c r="GL4" s="2" cm="1">
        <f t="array" ref="GL4">INDEX(动作!$L$3:$L$113,GA4)*(1+GI$25)*FZ$8</f>
        <v>0</v>
      </c>
      <c r="GM4" s="2" cm="1">
        <f t="array" ref="GM4">INDEX(动作!$K$3:$K$113,GA4)*FZ$8</f>
        <v>0</v>
      </c>
      <c r="GN4" s="2" cm="1">
        <f t="array" ref="GN4">INDEX(动作!$J$3:$J$113,GA4)*FZ$8</f>
        <v>0</v>
      </c>
      <c r="GO4" s="2" cm="1">
        <f t="array" ref="GO4">INDEX(动作!$N$3:$N$113,GA4)*FZ$8</f>
        <v>0</v>
      </c>
      <c r="GP4" s="5">
        <f>(SUM(GN$4:GN$7)*(0.6+GK$25)+GN4*(0.4-GK$25))*(1+$T4+GJ$25)+GO4</f>
        <v>0</v>
      </c>
      <c r="GQ4" s="5">
        <f>GB4*GH4%+GC4*GI4%+GD4*GJ4%+GK4</f>
        <v>14007.9599567839</v>
      </c>
      <c r="GR4" s="3">
        <f ca="1">IFERROR(OFFSET($X4,0,MATCH(GF4,$Y$3:$AA$3,0)),0)+IF(GG4="心灵",$AB4,$X4)+IF(GG4="附着",$AC4,0)+IF(GG4="追击",$AD4,0)+GR$25+$W4+IF(FZ$28,$AE$4,0)+GN9</f>
        <v>1.025</v>
      </c>
      <c r="GS4" s="3">
        <f>IF(GG4="DOT",50%,MIN($R4+GS$25+GL9,1))</f>
        <v>0.69</v>
      </c>
      <c r="GT4" s="3">
        <f>$S4+GT$25+GM9</f>
        <v>1.66</v>
      </c>
      <c r="GU4" s="5">
        <f>1+GS4*GT4</f>
        <v>2.1454</v>
      </c>
      <c r="GV4" s="3">
        <f>1-$B$6+GV$25+IF($C$6=$F4,$C$8,0)+$AG4+GP9</f>
        <v>0.8</v>
      </c>
      <c r="GW4" s="3">
        <f>IF(GV4&lt;1,GV4,(GV4-1)*0.925+1)</f>
        <v>0.8</v>
      </c>
      <c r="GX4" s="3">
        <f>MIN($AF4+GX$25+GO9,1)</f>
        <v>0</v>
      </c>
      <c r="GY4" s="2">
        <f>IF(GG4="心灵",1,$B$4/($B$4+$C$4*(1-GX4)))</f>
        <v>0.497237569060773</v>
      </c>
      <c r="GZ4" s="2" cm="1">
        <f t="array" ref="GZ4">INDEX(动作!$I$3:$I$113,GA4)</f>
        <v>0</v>
      </c>
      <c r="HA4" s="6">
        <f ca="1">GQ4*(1+GR4)*GU4*GW4*GY4*GR$28*(1+GY$25)</f>
        <v>24208.1787241394</v>
      </c>
      <c r="HB4" s="6">
        <f ca="1">HA4*FZ$8</f>
        <v>18156.1340431045</v>
      </c>
      <c r="HC4" s="2" t="str" cm="1">
        <f t="array" ref="HC4">INDEX(云配队!$J4:$AC4,1,HC$1)</f>
        <v>闪反</v>
      </c>
      <c r="HD4" s="2" cm="1">
        <f t="array" ref="HD4">IFERROR(MATCH(1,(动作!$A$3:$A$111=$D4)*EXACT(动作!$B$3:$B$111,HC4),0),1)</f>
        <v>34</v>
      </c>
      <c r="HE4" s="2">
        <f>$I4*(1+$J4+HE$25)+$K4+HF$25</f>
        <v>2123.475</v>
      </c>
      <c r="HF4" s="2">
        <f>$L4*(1+$M4+HG$25)+$N4+HH$25</f>
        <v>21198.4</v>
      </c>
      <c r="HG4" s="2">
        <f>$O4*(1+$P4+HI$25)+$Q4+HJ$25</f>
        <v>909</v>
      </c>
      <c r="HH4" s="2">
        <f>$U4+HK$25</f>
        <v>0</v>
      </c>
      <c r="HI4" s="2" t="str" cm="1">
        <f t="array" ref="HI4">INDEX(动作!$C$3:$C$113,HD4)</f>
        <v>闪反</v>
      </c>
      <c r="HJ4" s="2" cm="1">
        <f t="array" ref="HJ4">INDEX(动作!$D$3:$D$113,HD4)</f>
        <v>0</v>
      </c>
      <c r="HK4" s="2" cm="1">
        <f t="array" ref="HK4">INDEX(动作!$E$3:$E$113,HD4)*$AH4</f>
        <v>331.834768099336</v>
      </c>
      <c r="HL4" s="2" cm="1">
        <f t="array" ref="HL4">INDEX(动作!$F$3:$F$113,HD4)*$AH4</f>
        <v>0</v>
      </c>
      <c r="HM4" s="2" cm="1">
        <f t="array" ref="HM4">INDEX(动作!$G$3:$G$113,HD4)*$AH4</f>
        <v>0</v>
      </c>
      <c r="HN4" s="2" cm="1">
        <f t="array" ref="HN4">INDEX(动作!$H$3:$H$113,HD4)</f>
        <v>0</v>
      </c>
      <c r="HO4" s="2" cm="1">
        <f t="array" ref="HO4">INDEX(动作!$L$3:$L$113,HD4)*(1+HL$25)*HC$8</f>
        <v>7.5</v>
      </c>
      <c r="HP4" s="2" cm="1">
        <f t="array" ref="HP4">INDEX(动作!$K$3:$K$113,HD4)*HC$8</f>
        <v>20.7</v>
      </c>
      <c r="HQ4" s="2" cm="1">
        <f t="array" ref="HQ4">INDEX(动作!$J$3:$J$113,HD4)*HC$8</f>
        <v>12.6</v>
      </c>
      <c r="HR4" s="2" cm="1">
        <f t="array" ref="HR4">INDEX(动作!$N$3:$N$113,HD4)*HC$8</f>
        <v>0</v>
      </c>
      <c r="HS4" s="5">
        <f>(SUM(HQ$4:HQ$7)*(0.6+HN$25)+HQ4*(0.4-HN$25))*(1+$T4+HM$25)+HR4</f>
        <v>12.6</v>
      </c>
      <c r="HT4" s="5">
        <f>HE4*HK4%+HF4*HL4%+HG4*HM4%+HN4</f>
        <v>7046.42834189737</v>
      </c>
      <c r="HU4" s="3">
        <f ca="1">IFERROR(OFFSET($X4,0,MATCH(HI4,$Y$3:$AA$3,0)),0)+IF(HJ4="心灵",$AB4,$X4)+IF(HJ4="附着",$AC4,0)+IF(HJ4="追击",$AD4,0)+HU$25+$W4+IF(HC$28,$AE$4,0)+HQ9</f>
        <v>0.7</v>
      </c>
      <c r="HV4" s="3">
        <f>IF(HJ4="DOT",50%,MIN($R4+HV$25+HO9,1))</f>
        <v>0.69</v>
      </c>
      <c r="HW4" s="3">
        <f>$S4+HW$25+HP9</f>
        <v>1.66</v>
      </c>
      <c r="HX4" s="5">
        <f>1+HV4*HW4</f>
        <v>2.1454</v>
      </c>
      <c r="HY4" s="3">
        <f>1-$B$6+HY$25+IF($C$6=$F4,$C$8,0)+$AG4+HS9</f>
        <v>0.8</v>
      </c>
      <c r="HZ4" s="3">
        <f>IF(HY4&lt;1,HY4,(HY4-1)*0.925+1)</f>
        <v>0.8</v>
      </c>
      <c r="IA4" s="3">
        <f>MIN($AF4+IA$25+HR9,1)</f>
        <v>0</v>
      </c>
      <c r="IB4" s="2">
        <f>IF(HJ4="心灵",1,$B$4/($B$4+$C$4*(1-IA4)))</f>
        <v>0.497237569060773</v>
      </c>
      <c r="IC4" s="2" cm="1">
        <f t="array" ref="IC4">INDEX(动作!$I$3:$I$113,HD4)</f>
        <v>2.1</v>
      </c>
      <c r="ID4" s="6">
        <f ca="1">HT4*(1+HU4)*HX4*HZ4*IB4*HU$28*(1+IB$25)</f>
        <v>10223.0423283983</v>
      </c>
      <c r="IE4" s="6">
        <f ca="1">ID4*HC$8</f>
        <v>30669.1269851948</v>
      </c>
      <c r="IF4" s="2" t="str" cm="1">
        <f t="array" ref="IF4">INDEX(云配队!$J4:$AC4,1,IF$1)</f>
        <v>闪反副手</v>
      </c>
      <c r="IG4" s="2" cm="1">
        <f t="array" ref="IG4">IFERROR(MATCH(1,(动作!$A$3:$A$111=$D4)*EXACT(动作!$B$3:$B$111,IF4),0),1)</f>
        <v>35</v>
      </c>
      <c r="IH4" s="2">
        <f>$I4*(1+$J4+IH$25)+$K4+II$25</f>
        <v>2123.475</v>
      </c>
      <c r="II4" s="2">
        <f>$L4*(1+$M4+IJ$25)+$N4+IK$25</f>
        <v>21198.4</v>
      </c>
      <c r="IJ4" s="2">
        <f>$O4*(1+$P4+IL$25)+$Q4+IM$25</f>
        <v>909</v>
      </c>
      <c r="IK4" s="2">
        <f>$U4+IN$25</f>
        <v>0</v>
      </c>
      <c r="IL4" s="2" t="str" cm="1">
        <f t="array" ref="IL4">INDEX(动作!$C$3:$C$113,IG4)</f>
        <v>普攻</v>
      </c>
      <c r="IM4" s="2" t="str" cm="1">
        <f t="array" ref="IM4">INDEX(动作!$D$3:$D$113,IG4)</f>
        <v>追击</v>
      </c>
      <c r="IN4" s="2" cm="1">
        <f t="array" ref="IN4">INDEX(动作!$E$3:$E$113,IG4)*$AH4</f>
        <v>171.31469654285</v>
      </c>
      <c r="IO4" s="2" cm="1">
        <f t="array" ref="IO4">INDEX(动作!$F$3:$F$113,IG4)*$AH4</f>
        <v>0</v>
      </c>
      <c r="IP4" s="2" cm="1">
        <f t="array" ref="IP4">INDEX(动作!$G$3:$G$113,IG4)*$AH4</f>
        <v>0</v>
      </c>
      <c r="IQ4" s="2" cm="1">
        <f t="array" ref="IQ4">INDEX(动作!$H$3:$H$113,IG4)</f>
        <v>0</v>
      </c>
      <c r="IR4" s="2" cm="1">
        <f t="array" ref="IR4">INDEX(动作!$L$3:$L$113,IG4)*(1+IO$25)*IF$8</f>
        <v>0</v>
      </c>
      <c r="IS4" s="2" cm="1">
        <f t="array" ref="IS4">INDEX(动作!$K$3:$K$113,IG4)*IF$8</f>
        <v>0</v>
      </c>
      <c r="IT4" s="2" cm="1">
        <f t="array" ref="IT4">INDEX(动作!$J$3:$J$113,IG4)*IF$8</f>
        <v>0</v>
      </c>
      <c r="IU4" s="2" cm="1">
        <f t="array" ref="IU4">INDEX(动作!$N$3:$N$113,IG4)*IF$8</f>
        <v>0</v>
      </c>
      <c r="IV4" s="5">
        <f>(SUM(IT$4:IT$7)*(0.6+IQ$25)+IT4*(0.4-IQ$25))*(1+$T4+IP$25)+IU4</f>
        <v>0</v>
      </c>
      <c r="IW4" s="5">
        <f>IH4*IN4%+II4*IO4%+IJ4*IP4%+IQ4</f>
        <v>3637.82475241328</v>
      </c>
      <c r="IX4" s="3">
        <f ca="1">IFERROR(OFFSET($X4,0,MATCH(IL4,$Y$3:$AA$3,0)),0)+IF(IM4="心灵",$AB4,$X4)+IF(IM4="附着",$AC4,0)+IF(IM4="追击",$AD4,0)+IX$25+$W4+IF(IF$28,$AE$4,0)+IT9</f>
        <v>1.025</v>
      </c>
      <c r="IY4" s="3">
        <f>IF(IM4="DOT",50%,MIN($R4+IY$25+IR9,1))</f>
        <v>0.69</v>
      </c>
      <c r="IZ4" s="3">
        <f>$S4+IZ$25+IS9</f>
        <v>1.66</v>
      </c>
      <c r="JA4" s="5">
        <f>1+IY4*IZ4</f>
        <v>2.1454</v>
      </c>
      <c r="JB4" s="3">
        <f>1-$B$6+JB$25+IF($C$6=$F4,$C$8,0)+$AG4+IV9</f>
        <v>0.8</v>
      </c>
      <c r="JC4" s="3">
        <f>IF(JB4&lt;1,JB4,(JB4-1)*0.925+1)</f>
        <v>0.8</v>
      </c>
      <c r="JD4" s="3">
        <f>MIN($AF4+JD$25+IU9,1)</f>
        <v>0</v>
      </c>
      <c r="JE4" s="2">
        <f>IF(IM4="心灵",1,$B$4/($B$4+$C$4*(1-JD4)))</f>
        <v>0.497237569060773</v>
      </c>
      <c r="JF4" s="2" cm="1">
        <f t="array" ref="JF4">INDEX(动作!$I$3:$I$113,IG4)</f>
        <v>0</v>
      </c>
      <c r="JG4" s="6">
        <f ca="1">IW4*(1+IX4)*JA4*JC4*JE4*IX$28*(1+JE$25)</f>
        <v>6286.79065654166</v>
      </c>
      <c r="JH4" s="6">
        <f ca="1">JG4*IF$8</f>
        <v>9430.18598481249</v>
      </c>
      <c r="JI4" s="2" cm="1">
        <f t="array" ref="JI4">INDEX(云配队!$J4:$AC4,1,JI$1)</f>
        <v>0</v>
      </c>
      <c r="JJ4" s="2" cm="1">
        <f t="array" ref="JJ4">IFERROR(MATCH(1,(动作!$A$3:$A$111=$D4)*EXACT(动作!$B$3:$B$111,JI4),0),1)</f>
        <v>1</v>
      </c>
      <c r="JK4" s="2">
        <f>$I4*(1+$J4+JK$25)+$K4+JL$25</f>
        <v>2123.475</v>
      </c>
      <c r="JL4" s="2">
        <f>$L4*(1+$M4+JM$25)+$N4+JN$25</f>
        <v>21198.4</v>
      </c>
      <c r="JM4" s="2">
        <f>$O4*(1+$P4+JO$25)+$Q4+JP$25</f>
        <v>909</v>
      </c>
      <c r="JN4" s="2">
        <f>$U4+JQ$25</f>
        <v>0</v>
      </c>
      <c r="JO4" s="2" t="str" cm="1">
        <f t="array" ref="JO4">INDEX(动作!$C$3:$C$113,JJ4)</f>
        <v>无</v>
      </c>
      <c r="JP4" s="2" cm="1">
        <f t="array" ref="JP4">INDEX(动作!$D$3:$D$113,JJ4)</f>
        <v>0</v>
      </c>
      <c r="JQ4" s="2" cm="1">
        <f t="array" ref="JQ4">INDEX(动作!$E$3:$E$113,JJ4)*$AH4</f>
        <v>0</v>
      </c>
      <c r="JR4" s="2" cm="1">
        <f t="array" ref="JR4">INDEX(动作!$F$3:$F$113,JJ4)*$AH4</f>
        <v>0</v>
      </c>
      <c r="JS4" s="2" cm="1">
        <f t="array" ref="JS4">INDEX(动作!$G$3:$G$113,JJ4)*$AH4</f>
        <v>0</v>
      </c>
      <c r="JT4" s="2" cm="1">
        <f t="array" ref="JT4">INDEX(动作!$H$3:$H$113,JJ4)</f>
        <v>0</v>
      </c>
      <c r="JU4" s="2" cm="1">
        <f t="array" ref="JU4">INDEX(动作!$L$3:$L$113,JJ4)*(1+JR$25)*JI$8</f>
        <v>0</v>
      </c>
      <c r="JV4" s="2" cm="1">
        <f t="array" ref="JV4">INDEX(动作!$K$3:$K$113,JJ4)*JI$8</f>
        <v>0</v>
      </c>
      <c r="JW4" s="2" cm="1">
        <f t="array" ref="JW4">INDEX(动作!$J$3:$J$113,JJ4)*JI$8</f>
        <v>0</v>
      </c>
      <c r="JX4" s="2" cm="1">
        <f t="array" ref="JX4">INDEX(动作!$N$3:$N$113,JJ4)*JI$8</f>
        <v>0</v>
      </c>
      <c r="JY4" s="5">
        <f>(SUM(JW$4:JW$7)*(0.6+JT$25)+JW4*(0.4-JT$25))*(1+$T4+JS$25)+JX4</f>
        <v>0</v>
      </c>
      <c r="JZ4" s="5">
        <f>JK4*JQ4%+JL4*JR4%+JM4*JS4%+JT4</f>
        <v>0</v>
      </c>
      <c r="KA4" s="3">
        <f ca="1">IFERROR(OFFSET($X4,0,MATCH(JO4,$Y$3:$AA$3,0)),0)+IF(JP4="心灵",$AB4,$X4)+IF(JP4="附着",$AC4,0)+IF(JP4="追击",$AD4,0)+KA$25+$W4+IF(JI$28,$AE$4,0)+JW9</f>
        <v>0.625</v>
      </c>
      <c r="KB4" s="3">
        <f>IF(JP4="DOT",50%,MIN($R4+KB$25+JU9,1))</f>
        <v>0.69</v>
      </c>
      <c r="KC4" s="3">
        <f>$S4+KC$25+JV9</f>
        <v>1.36</v>
      </c>
      <c r="KD4" s="5">
        <f>1+KB4*KC4</f>
        <v>1.9384</v>
      </c>
      <c r="KE4" s="3">
        <f>1-$B$6+KE$25+IF($C$6=$F4,$C$8,0)+$AG4+JY9</f>
        <v>0.8</v>
      </c>
      <c r="KF4" s="3">
        <f>IF(KE4&lt;1,KE4,(KE4-1)*0.925+1)</f>
        <v>0.8</v>
      </c>
      <c r="KG4" s="3">
        <f>MIN($AF4+KG$25+JX9,1)</f>
        <v>0</v>
      </c>
      <c r="KH4" s="2">
        <f>IF(JP4="心灵",1,$B$4/($B$4+$C$4*(1-KG4)))</f>
        <v>0.497237569060773</v>
      </c>
      <c r="KI4" s="2" cm="1">
        <f t="array" ref="KI4">INDEX(动作!$I$3:$I$113,JJ4)</f>
        <v>0</v>
      </c>
      <c r="KJ4" s="6">
        <f ca="1">JZ4*(1+KA4)*KD4*KF4*KH4*KA$28*(1+KH$25)</f>
        <v>0</v>
      </c>
      <c r="KK4" s="6">
        <f ca="1">KJ4*JI$8</f>
        <v>0</v>
      </c>
      <c r="KL4" s="2" cm="1">
        <f t="array" ref="KL4">INDEX(云配队!$J4:$AC4,1,KL$1)</f>
        <v>0</v>
      </c>
      <c r="KM4" s="2" cm="1">
        <f t="array" ref="KM4">IFERROR(MATCH(1,(动作!$A$3:$A$111=$D4)*EXACT(动作!$B$3:$B$111,KL4),0),1)</f>
        <v>1</v>
      </c>
      <c r="KN4" s="2">
        <f>$I4*(1+$J4+KN$25)+$K4+KO$25</f>
        <v>2123.475</v>
      </c>
      <c r="KO4" s="2">
        <f>$L4*(1+$M4+KP$25)+$N4+KQ$25</f>
        <v>21198.4</v>
      </c>
      <c r="KP4" s="2">
        <f>$O4*(1+$P4+KR$25)+$Q4+KS$25</f>
        <v>909</v>
      </c>
      <c r="KQ4" s="2">
        <f>$U4+KT$25</f>
        <v>0</v>
      </c>
      <c r="KR4" s="2" t="str" cm="1">
        <f t="array" ref="KR4">INDEX(动作!$C$3:$C$113,KM4)</f>
        <v>无</v>
      </c>
      <c r="KS4" s="2" cm="1">
        <f t="array" ref="KS4">INDEX(动作!$D$3:$D$113,KM4)</f>
        <v>0</v>
      </c>
      <c r="KT4" s="2" cm="1">
        <f t="array" ref="KT4">INDEX(动作!$E$3:$E$113,KM4)*$AH4</f>
        <v>0</v>
      </c>
      <c r="KU4" s="2" cm="1">
        <f t="array" ref="KU4">INDEX(动作!$F$3:$F$113,KM4)*$AH4</f>
        <v>0</v>
      </c>
      <c r="KV4" s="2" cm="1">
        <f t="array" ref="KV4">INDEX(动作!$G$3:$G$113,KM4)*$AH4</f>
        <v>0</v>
      </c>
      <c r="KW4" s="2" cm="1">
        <f t="array" ref="KW4">INDEX(动作!$H$3:$H$113,KM4)</f>
        <v>0</v>
      </c>
      <c r="KX4" s="2" cm="1">
        <f t="array" ref="KX4">INDEX(动作!$L$3:$L$113,KM4)*(1+KU$25)*KL$8</f>
        <v>0</v>
      </c>
      <c r="KY4" s="2" cm="1">
        <f t="array" ref="KY4">INDEX(动作!$K$3:$K$113,KM4)*KL$8</f>
        <v>0</v>
      </c>
      <c r="KZ4" s="2" cm="1">
        <f t="array" ref="KZ4">INDEX(动作!$J$3:$J$113,KM4)*KL$8</f>
        <v>0</v>
      </c>
      <c r="LA4" s="2" cm="1">
        <f t="array" ref="LA4">INDEX(动作!$N$3:$N$113,KM4)*KL$8</f>
        <v>0</v>
      </c>
      <c r="LB4" s="5">
        <f>(SUM(KZ$4:KZ$7)*(0.6+KW$25)+KZ4*(0.4-KW$25))*(1+$T4+KV$25)+LA4</f>
        <v>0</v>
      </c>
      <c r="LC4" s="5">
        <f>KN4*KT4%+KO4*KU4%+KP4*KV4%+KW4</f>
        <v>0</v>
      </c>
      <c r="LD4" s="3">
        <f ca="1">IFERROR(OFFSET($X4,0,MATCH(KR4,$Y$3:$AA$3,0)),0)+IF(KS4="心灵",$AB4,$X4)+IF(KS4="附着",$AC4,0)+IF(KS4="追击",$AD4,0)+LD$25+$W4+IF(KL$28,$AE$4,0)+KZ9</f>
        <v>1.325</v>
      </c>
      <c r="LE4" s="3">
        <f>IF(KS4="DOT",50%,MIN($R4+LE$25+KX9,1))</f>
        <v>0.69</v>
      </c>
      <c r="LF4" s="3">
        <f>$S4+LF$25+KY9</f>
        <v>1.36</v>
      </c>
      <c r="LG4" s="5">
        <f>1+LE4*LF4</f>
        <v>1.9384</v>
      </c>
      <c r="LH4" s="3">
        <f>1-$B$6+LH$25+IF($C$6=$F4,$C$8,0)+$AG4+LB9</f>
        <v>0.8</v>
      </c>
      <c r="LI4" s="3">
        <f>IF(LH4&lt;1,LH4,(LH4-1)*0.925+1)</f>
        <v>0.8</v>
      </c>
      <c r="LJ4" s="3">
        <f>MIN($AF4+LJ$25+LA9,1)</f>
        <v>0</v>
      </c>
      <c r="LK4" s="2">
        <f>IF(KS4="心灵",1,$B$4/($B$4+$C$4*(1-LJ4)))</f>
        <v>0.497237569060773</v>
      </c>
      <c r="LL4" s="2" cm="1">
        <f t="array" ref="LL4">INDEX(动作!$I$3:$I$113,KM4)</f>
        <v>0</v>
      </c>
      <c r="LM4" s="6">
        <f ca="1">LC4*(1+LD4)*LG4*LI4*LK4*LD$28*(1+LK$25)</f>
        <v>0</v>
      </c>
      <c r="LN4" s="6">
        <f ca="1">LM4*KL$8</f>
        <v>0</v>
      </c>
      <c r="LO4" s="2" cm="1">
        <f t="array" ref="LO4">INDEX(云配队!$J4:$AC4,1,LO$1)</f>
        <v>0</v>
      </c>
      <c r="LP4" s="2" cm="1">
        <f t="array" ref="LP4">IFERROR(MATCH(1,(动作!$A$3:$A$111=$D4)*EXACT(动作!$B$3:$B$111,LO4),0),1)</f>
        <v>1</v>
      </c>
      <c r="LQ4" s="2">
        <f>$I4*(1+$J4+LQ$25)+$K4+LR$25</f>
        <v>2123.475</v>
      </c>
      <c r="LR4" s="2">
        <f>$L4*(1+$M4+LS$25)+$N4+LT$25</f>
        <v>21198.4</v>
      </c>
      <c r="LS4" s="2">
        <f>$O4*(1+$P4+LU$25)+$Q4+LV$25</f>
        <v>909</v>
      </c>
      <c r="LT4" s="2">
        <f>$U4+LW$25</f>
        <v>0</v>
      </c>
      <c r="LU4" s="2" t="str" cm="1">
        <f t="array" ref="LU4">INDEX(动作!$C$3:$C$113,LP4)</f>
        <v>无</v>
      </c>
      <c r="LV4" s="2" cm="1">
        <f t="array" ref="LV4">INDEX(动作!$D$3:$D$113,LP4)</f>
        <v>0</v>
      </c>
      <c r="LW4" s="2" cm="1">
        <f t="array" ref="LW4">INDEX(动作!$E$3:$E$113,LP4)*$AH4</f>
        <v>0</v>
      </c>
      <c r="LX4" s="2" cm="1">
        <f t="array" ref="LX4">INDEX(动作!$F$3:$F$113,LP4)*$AH4</f>
        <v>0</v>
      </c>
      <c r="LY4" s="2" cm="1">
        <f t="array" ref="LY4">INDEX(动作!$G$3:$G$113,LP4)*$AH4</f>
        <v>0</v>
      </c>
      <c r="LZ4" s="2" cm="1">
        <f t="array" ref="LZ4">INDEX(动作!$H$3:$H$113,LP4)</f>
        <v>0</v>
      </c>
      <c r="MA4" s="2" cm="1">
        <f t="array" ref="MA4">INDEX(动作!$L$3:$L$113,LP4)*(1+LX$25)*LO$8</f>
        <v>0</v>
      </c>
      <c r="MB4" s="2" cm="1">
        <f t="array" ref="MB4">INDEX(动作!$K$3:$K$113,LP4)*LO$8</f>
        <v>0</v>
      </c>
      <c r="MC4" s="2" cm="1">
        <f t="array" ref="MC4">INDEX(动作!$J$3:$J$113,LP4)*LO$8</f>
        <v>0</v>
      </c>
      <c r="MD4" s="2" cm="1">
        <f t="array" ref="MD4">INDEX(动作!$N$3:$N$113,LP4)*LO$8</f>
        <v>0</v>
      </c>
      <c r="ME4" s="5">
        <f>(SUM(MC$4:MC$7)*(0.6+LZ$25)+MC4*(0.4-LZ$25))*(1+$T4+LY$25)+MD4</f>
        <v>7.2</v>
      </c>
      <c r="MF4" s="5">
        <f>LQ4*LW4%+LR4*LX4%+LS4*LY4%+LZ4</f>
        <v>0</v>
      </c>
      <c r="MG4" s="3">
        <f ca="1">IFERROR(OFFSET($X4,0,MATCH(LU4,$Y$3:$AA$3,0)),0)+IF(LV4="心灵",$AB4,$X4)+IF(LV4="附着",$AC4,0)+IF(LV4="追击",$AD4,0)+MG$25+$W4+IF(LO$28,$AE$4,0)+MC9</f>
        <v>0.975</v>
      </c>
      <c r="MH4" s="3">
        <f>IF(LV4="DOT",50%,MIN($R4+MH$25+MA9,1))</f>
        <v>0.69</v>
      </c>
      <c r="MI4" s="3">
        <f>$S4+MI$25+MB9</f>
        <v>1.36</v>
      </c>
      <c r="MJ4" s="5">
        <f>1+MH4*MI4</f>
        <v>1.9384</v>
      </c>
      <c r="MK4" s="3">
        <f>1-$B$6+MK$25+IF($C$6=$F4,$C$8,0)+$AG4+ME9</f>
        <v>0.8</v>
      </c>
      <c r="ML4" s="3">
        <f>IF(MK4&lt;1,MK4,(MK4-1)*0.925+1)</f>
        <v>0.8</v>
      </c>
      <c r="MM4" s="3">
        <f>MIN($AF4+MM$25+MD9,1)</f>
        <v>0</v>
      </c>
      <c r="MN4" s="2">
        <f>IF(LV4="心灵",1,$B$4/($B$4+$C$4*(1-MM4)))</f>
        <v>0.497237569060773</v>
      </c>
      <c r="MO4" s="2" cm="1">
        <f t="array" ref="MO4">INDEX(动作!$I$3:$I$113,LP4)</f>
        <v>0</v>
      </c>
      <c r="MP4" s="6">
        <f ca="1">MF4*(1+MG4)*MJ4*ML4*MN4*MG$28*(1+MN$25)</f>
        <v>0</v>
      </c>
      <c r="MQ4" s="6">
        <f ca="1">MP4*LO$8</f>
        <v>0</v>
      </c>
      <c r="MR4" s="2" cm="1">
        <f t="array" ref="MR4">INDEX(云配队!$J4:$AC4,1,MR$1)</f>
        <v>0</v>
      </c>
      <c r="MS4" s="2" cm="1">
        <f t="array" ref="MS4">IFERROR(MATCH(1,(动作!$A$3:$A$111=$D4)*EXACT(动作!$B$3:$B$111,MR4),0),1)</f>
        <v>1</v>
      </c>
      <c r="MT4" s="2">
        <f>$I4*(1+$J4+MT$25)+$K4+MU$25</f>
        <v>2123.475</v>
      </c>
      <c r="MU4" s="2">
        <f>$L4*(1+$M4+MV$25)+$N4+MW$25</f>
        <v>21198.4</v>
      </c>
      <c r="MV4" s="2">
        <f>$O4*(1+$P4+MX$25)+$Q4+MY$25</f>
        <v>909</v>
      </c>
      <c r="MW4" s="2">
        <f>$U4+MZ$25</f>
        <v>0</v>
      </c>
      <c r="MX4" s="2" t="str" cm="1">
        <f t="array" ref="MX4">INDEX(动作!$C$3:$C$113,MS4)</f>
        <v>无</v>
      </c>
      <c r="MY4" s="2" cm="1">
        <f t="array" ref="MY4">INDEX(动作!$D$3:$D$113,MS4)</f>
        <v>0</v>
      </c>
      <c r="MZ4" s="2" cm="1">
        <f t="array" ref="MZ4">INDEX(动作!$E$3:$E$113,MS4)*$AH4</f>
        <v>0</v>
      </c>
      <c r="NA4" s="2" cm="1">
        <f t="array" ref="NA4">INDEX(动作!$F$3:$F$113,MS4)*$AH4</f>
        <v>0</v>
      </c>
      <c r="NB4" s="2" cm="1">
        <f t="array" ref="NB4">INDEX(动作!$G$3:$G$113,MS4)*$AH4</f>
        <v>0</v>
      </c>
      <c r="NC4" s="2" cm="1">
        <f t="array" ref="NC4">INDEX(动作!$H$3:$H$113,MS4)</f>
        <v>0</v>
      </c>
      <c r="ND4" s="2" cm="1">
        <f t="array" ref="ND4">INDEX(动作!$L$3:$L$113,MS4)*(1+NA$25)*MR$8</f>
        <v>0</v>
      </c>
      <c r="NE4" s="2" cm="1">
        <f t="array" ref="NE4">INDEX(动作!$K$3:$K$113,MS4)*MR$8</f>
        <v>0</v>
      </c>
      <c r="NF4" s="2" cm="1">
        <f t="array" ref="NF4">INDEX(动作!$J$3:$J$113,MS4)*MR$8</f>
        <v>0</v>
      </c>
      <c r="NG4" s="2" cm="1">
        <f t="array" ref="NG4">INDEX(动作!$N$3:$N$113,MS4)*MR$8</f>
        <v>0</v>
      </c>
      <c r="NH4" s="5">
        <f>(SUM(NF$4:NF$7)*(0.6+NC$25)+NF4*(0.4-NC$25))*(1+$T4+NB$25)+NG4</f>
        <v>0</v>
      </c>
      <c r="NI4" s="5">
        <f>MT4*MZ4%+MU4*NA4%+MV4*NB4%+NC4</f>
        <v>0</v>
      </c>
      <c r="NJ4" s="3">
        <f ca="1">IFERROR(OFFSET($X4,0,MATCH(MX4,$Y$3:$AA$3,0)),0)+IF(MY4="心灵",$AB4,$X4)+IF(MY4="附着",$AC4,0)+IF(MY4="追击",$AD4,0)+NJ$25+$W4+IF(MR$28,$AE$4,0)+NF9</f>
        <v>0.625</v>
      </c>
      <c r="NK4" s="3">
        <f>IF(MY4="DOT",50%,MIN($R4+NK$25+ND9,1))</f>
        <v>0.69</v>
      </c>
      <c r="NL4" s="3">
        <f>$S4+NL$25+NE9</f>
        <v>1.36</v>
      </c>
      <c r="NM4" s="5">
        <f>1+NK4*NL4</f>
        <v>1.9384</v>
      </c>
      <c r="NN4" s="3">
        <f>1-$B$6+NN$25+IF($C$6=$F4,$C$8,0)+$AG4+NH9</f>
        <v>0.8</v>
      </c>
      <c r="NO4" s="3">
        <f>IF(NN4&lt;1,NN4,(NN4-1)*0.925+1)</f>
        <v>0.8</v>
      </c>
      <c r="NP4" s="3">
        <f>MIN($AF4+NP$25+NG9,1)</f>
        <v>0</v>
      </c>
      <c r="NQ4" s="2">
        <f>IF(MY4="心灵",1,$B$4/($B$4+$C$4*(1-NP4)))</f>
        <v>0.497237569060773</v>
      </c>
      <c r="NR4" s="2" cm="1">
        <f t="array" ref="NR4">INDEX(动作!$I$3:$I$113,MS4)</f>
        <v>0</v>
      </c>
      <c r="NS4" s="6">
        <f ca="1">NI4*(1+NJ4)*NM4*NO4*NQ4*NJ$28*(1+NQ$25)</f>
        <v>0</v>
      </c>
      <c r="NT4" s="6">
        <f ca="1">NS4*MR$8</f>
        <v>0</v>
      </c>
      <c r="NU4" s="2" cm="1">
        <f t="array" ref="NU4">INDEX(云配队!$J4:$AC4,1,NU$1)</f>
        <v>0</v>
      </c>
      <c r="NV4" s="2" cm="1">
        <f t="array" ref="NV4">IFERROR(MATCH(1,(动作!$A$3:$A$111=$D4)*EXACT(动作!$B$3:$B$111,NU4),0),1)</f>
        <v>1</v>
      </c>
      <c r="NW4" s="2">
        <f>$I4*(1+$J4+NW$25)+$K4+NX$25</f>
        <v>2123.475</v>
      </c>
      <c r="NX4" s="2">
        <f>$L4*(1+$M4+NY$25)+$N4+NZ$25</f>
        <v>21198.4</v>
      </c>
      <c r="NY4" s="2">
        <f>$O4*(1+$P4+OA$25)+$Q4+OB$25</f>
        <v>909</v>
      </c>
      <c r="NZ4" s="2">
        <f>$U4+OC$25</f>
        <v>0</v>
      </c>
      <c r="OA4" s="2" t="str" cm="1">
        <f t="array" ref="OA4">INDEX(动作!$C$3:$C$113,NV4)</f>
        <v>无</v>
      </c>
      <c r="OB4" s="2" cm="1">
        <f t="array" ref="OB4">INDEX(动作!$D$3:$D$113,NV4)</f>
        <v>0</v>
      </c>
      <c r="OC4" s="2" cm="1">
        <f t="array" ref="OC4">INDEX(动作!$E$3:$E$113,NV4)*$AH4</f>
        <v>0</v>
      </c>
      <c r="OD4" s="2" cm="1">
        <f t="array" ref="OD4">INDEX(动作!$F$3:$F$113,NV4)*$AH4</f>
        <v>0</v>
      </c>
      <c r="OE4" s="2" cm="1">
        <f t="array" ref="OE4">INDEX(动作!$G$3:$G$113,NV4)*$AH4</f>
        <v>0</v>
      </c>
      <c r="OF4" s="2" cm="1">
        <f t="array" ref="OF4">INDEX(动作!$H$3:$H$113,NV4)</f>
        <v>0</v>
      </c>
      <c r="OG4" s="2" cm="1">
        <f t="array" ref="OG4">INDEX(动作!$L$3:$L$113,NV4)*(1+OD$25)*NU$8</f>
        <v>0</v>
      </c>
      <c r="OH4" s="2" cm="1">
        <f t="array" ref="OH4">INDEX(动作!$K$3:$K$113,NV4)*NU$8</f>
        <v>0</v>
      </c>
      <c r="OI4" s="2" cm="1">
        <f t="array" ref="OI4">INDEX(动作!$J$3:$J$113,NV4)*NU$8</f>
        <v>0</v>
      </c>
      <c r="OJ4" s="2" cm="1">
        <f t="array" ref="OJ4">INDEX(动作!$N$3:$N$113,NV4)*NU$8</f>
        <v>0</v>
      </c>
      <c r="OK4" s="5">
        <f>(SUM(OI$4:OI$7)*(0.6+OF$25)+OI4*(0.4-OF$25))*(1+$T4+OE$25)+OJ4</f>
        <v>0</v>
      </c>
      <c r="OL4" s="5">
        <f>NW4*OC4%+NX4*OD4%+NY4*OE4%+OF4</f>
        <v>0</v>
      </c>
      <c r="OM4" s="3">
        <f ca="1">IFERROR(OFFSET($X4,0,MATCH(OA4,$Y$3:$AA$3,0)),0)+IF(OB4="心灵",$AB4,$X4)+IF(OB4="附着",$AC4,0)+IF(OB4="追击",$AD4,0)+OM$25+$W4+IF(NU$28,$AE$4,0)+OI9</f>
        <v>0.625</v>
      </c>
      <c r="ON4" s="3">
        <f>IF(OB4="DOT",50%,MIN($R4+ON$25+OG9,1))</f>
        <v>0.69</v>
      </c>
      <c r="OO4" s="3">
        <f>$S4+OO$25+OH9</f>
        <v>1.36</v>
      </c>
      <c r="OP4" s="5">
        <f>1+ON4*OO4</f>
        <v>1.9384</v>
      </c>
      <c r="OQ4" s="3">
        <f>1-$B$6+OQ$25+IF($C$6=$F4,$C$8,0)+$AG4+OK9</f>
        <v>0.8</v>
      </c>
      <c r="OR4" s="3">
        <f>IF(OQ4&lt;1,OQ4,(OQ4-1)*0.925+1)</f>
        <v>0.8</v>
      </c>
      <c r="OS4" s="3">
        <f>MIN($AF4+OS$25+OJ9,1)</f>
        <v>0</v>
      </c>
      <c r="OT4" s="2">
        <f>IF(OB4="心灵",1,$B$4/($B$4+$C$4*(1-OS4)))</f>
        <v>0.497237569060773</v>
      </c>
      <c r="OU4" s="2" cm="1">
        <f t="array" ref="OU4">INDEX(动作!$I$3:$I$113,NV4)</f>
        <v>0</v>
      </c>
      <c r="OV4" s="6">
        <f ca="1">OL4*(1+OM4)*OP4*OR4*OT4*OM$28*(1+OT$25)</f>
        <v>0</v>
      </c>
      <c r="OW4" s="6">
        <f ca="1">OV4*NU$8</f>
        <v>0</v>
      </c>
      <c r="OX4" s="2" cm="1">
        <f t="array" ref="OX4">INDEX(云配队!$J4:$AC4,1,OX$1)</f>
        <v>0</v>
      </c>
      <c r="OY4" s="2" cm="1">
        <f t="array" ref="OY4">IFERROR(MATCH(1,(动作!$A$3:$A$111=$D4)*EXACT(动作!$B$3:$B$111,OX4),0),1)</f>
        <v>1</v>
      </c>
      <c r="OZ4" s="2">
        <f>$I4*(1+$J4+OZ$25)+$K4+PA$25</f>
        <v>2123.475</v>
      </c>
      <c r="PA4" s="2">
        <f>$L4*(1+$M4+PB$25)+$N4+PC$25</f>
        <v>21198.4</v>
      </c>
      <c r="PB4" s="2">
        <f>$O4*(1+$P4+PD$25)+$Q4+PE$25</f>
        <v>909</v>
      </c>
      <c r="PC4" s="2">
        <f>$U4+PF$25</f>
        <v>0</v>
      </c>
      <c r="PD4" s="2" t="str" cm="1">
        <f t="array" ref="PD4">INDEX(动作!$C$3:$C$113,OY4)</f>
        <v>无</v>
      </c>
      <c r="PE4" s="2" cm="1">
        <f t="array" ref="PE4">INDEX(动作!$D$3:$D$113,OY4)</f>
        <v>0</v>
      </c>
      <c r="PF4" s="2" cm="1">
        <f t="array" ref="PF4">INDEX(动作!$E$3:$E$113,OY4)*$AH4</f>
        <v>0</v>
      </c>
      <c r="PG4" s="2" cm="1">
        <f t="array" ref="PG4">INDEX(动作!$F$3:$F$113,OY4)*$AH4</f>
        <v>0</v>
      </c>
      <c r="PH4" s="2" cm="1">
        <f t="array" ref="PH4">INDEX(动作!$G$3:$G$113,OY4)*$AH4</f>
        <v>0</v>
      </c>
      <c r="PI4" s="2" cm="1">
        <f t="array" ref="PI4">INDEX(动作!$H$3:$H$113,OY4)</f>
        <v>0</v>
      </c>
      <c r="PJ4" s="2" cm="1">
        <f t="array" ref="PJ4">INDEX(动作!$L$3:$L$113,OY4)*(1+PG$25)*OX$8</f>
        <v>0</v>
      </c>
      <c r="PK4" s="2" cm="1">
        <f t="array" ref="PK4">INDEX(动作!$K$3:$K$113,OY4)*OX$8</f>
        <v>0</v>
      </c>
      <c r="PL4" s="2" cm="1">
        <f t="array" ref="PL4">INDEX(动作!$J$3:$J$113,OY4)*OX$8</f>
        <v>0</v>
      </c>
      <c r="PM4" s="2" cm="1">
        <f t="array" ref="PM4">INDEX(动作!$N$3:$N$113,OY4)*OX$8</f>
        <v>0</v>
      </c>
      <c r="PN4" s="5">
        <f>(SUM(PL$4:PL$7)*(0.6+PI$25)+PL4*(0.4-PI$25))*(1+$T4+PH$25)+PM4</f>
        <v>4.26</v>
      </c>
      <c r="PO4" s="5">
        <f>OZ4*PF4%+PA4*PG4%+PB4*PH4%+PI4</f>
        <v>0</v>
      </c>
      <c r="PP4" s="3">
        <f ca="1">IFERROR(OFFSET($X4,0,MATCH(PD4,$Y$3:$AA$3,0)),0)+IF(PE4="心灵",$AB4,$X4)+IF(PE4="附着",$AC4,0)+IF(PE4="追击",$AD4,0)+PP$25+$W4+IF(OX$28,$AE$4,0)+PL9</f>
        <v>0.625</v>
      </c>
      <c r="PQ4" s="3">
        <f>IF(PE4="DOT",50%,MIN($R4+PQ$25+PJ9,1))</f>
        <v>0.69</v>
      </c>
      <c r="PR4" s="3">
        <f>$S4+PR$25+PK9</f>
        <v>1.36</v>
      </c>
      <c r="PS4" s="5">
        <f>1+PQ4*PR4</f>
        <v>1.9384</v>
      </c>
      <c r="PT4" s="3">
        <f>1-$B$6+PT$25+IF($C$6=$F4,$C$8,0)+$AG4+PN9</f>
        <v>0.8</v>
      </c>
      <c r="PU4" s="3">
        <f>IF(PT4&lt;1,PT4,(PT4-1)*0.925+1)</f>
        <v>0.8</v>
      </c>
      <c r="PV4" s="3">
        <f>MIN($AF4+PV$25+PM9,1)</f>
        <v>0</v>
      </c>
      <c r="PW4" s="2">
        <f>IF(PE4="心灵",1,$B$4/($B$4+$C$4*(1-PV4)))</f>
        <v>0.497237569060773</v>
      </c>
      <c r="PX4" s="2" cm="1">
        <f t="array" ref="PX4">INDEX(动作!$I$3:$I$113,OY4)</f>
        <v>0</v>
      </c>
      <c r="PY4" s="6">
        <f ca="1">PO4*(1+PP4)*PS4*PU4*PW4*PP$28*(1+PW$25)</f>
        <v>0</v>
      </c>
      <c r="PZ4" s="6">
        <f ca="1">PY4*OX$8</f>
        <v>0</v>
      </c>
      <c r="QA4" s="2" cm="1">
        <f t="array" ref="QA4">INDEX(云配队!$J4:$AC4,1,QA$1)</f>
        <v>0</v>
      </c>
      <c r="QB4" s="2" cm="1">
        <f t="array" ref="QB4">IFERROR(MATCH(1,(动作!$A$3:$A$111=$D4)*EXACT(动作!$B$3:$B$111,QA4),0),1)</f>
        <v>1</v>
      </c>
      <c r="QC4" s="2">
        <f>$I4*(1+$J4+QC$25)+$K4+QD$25</f>
        <v>2123.475</v>
      </c>
      <c r="QD4" s="2">
        <f>$L4*(1+$M4+QE$25)+$N4+QF$25</f>
        <v>21198.4</v>
      </c>
      <c r="QE4" s="2">
        <f>$O4*(1+$P4+QG$25)+$Q4+QH$25</f>
        <v>909</v>
      </c>
      <c r="QF4" s="2">
        <f>$U4+QI$25</f>
        <v>0</v>
      </c>
      <c r="QG4" s="2" t="str" cm="1">
        <f t="array" ref="QG4">INDEX(动作!$C$3:$C$113,QB4)</f>
        <v>无</v>
      </c>
      <c r="QH4" s="2" cm="1">
        <f t="array" ref="QH4">INDEX(动作!$D$3:$D$113,QB4)</f>
        <v>0</v>
      </c>
      <c r="QI4" s="2" cm="1">
        <f t="array" ref="QI4">INDEX(动作!$E$3:$E$113,QB4)*$AH4</f>
        <v>0</v>
      </c>
      <c r="QJ4" s="2" cm="1">
        <f t="array" ref="QJ4">INDEX(动作!$F$3:$F$113,QB4)*$AH4</f>
        <v>0</v>
      </c>
      <c r="QK4" s="2" cm="1">
        <f t="array" ref="QK4">INDEX(动作!$G$3:$G$113,QB4)*$AH4</f>
        <v>0</v>
      </c>
      <c r="QL4" s="2" cm="1">
        <f t="array" ref="QL4">INDEX(动作!$H$3:$H$113,QB4)</f>
        <v>0</v>
      </c>
      <c r="QM4" s="2" cm="1">
        <f t="array" ref="QM4">INDEX(动作!$L$3:$L$113,QB4)*(1+QJ$25)*QA$8</f>
        <v>0</v>
      </c>
      <c r="QN4" s="2" cm="1">
        <f t="array" ref="QN4">INDEX(动作!$K$3:$K$113,QB4)*QA$8</f>
        <v>0</v>
      </c>
      <c r="QO4" s="2" cm="1">
        <f t="array" ref="QO4">INDEX(动作!$J$3:$J$113,QB4)*QA$8</f>
        <v>0</v>
      </c>
      <c r="QP4" s="2" cm="1">
        <f t="array" ref="QP4">INDEX(动作!$N$3:$N$113,QB4)*QA$8</f>
        <v>0</v>
      </c>
      <c r="QQ4" s="5">
        <f>(SUM(QO$4:QO$7)*(0.6+QL$25)+QO4*(0.4-QL$25))*(1+$T4+QK$25)+QP4</f>
        <v>0</v>
      </c>
      <c r="QR4" s="5">
        <f>QC4*QI4%+QD4*QJ4%+QE4*QK4%+QL4</f>
        <v>0</v>
      </c>
      <c r="QS4" s="3">
        <f ca="1">IFERROR(OFFSET($X4,0,MATCH(QG4,$Y$3:$AA$3,0)),0)+IF(QH4="心灵",$AB4,$X4)+IF(QH4="附着",$AC4,0)+IF(QH4="追击",$AD4,0)+QS$25+$W4+IF(QA$28,$AE$4,0)+QO9</f>
        <v>0.625</v>
      </c>
      <c r="QT4" s="3">
        <f>IF(QH4="DOT",50%,MIN($R4+QT$25+QM9,1))</f>
        <v>0.69</v>
      </c>
      <c r="QU4" s="3">
        <f>$S4+QU$25+QN9</f>
        <v>1.36</v>
      </c>
      <c r="QV4" s="5">
        <f>1+QT4*QU4</f>
        <v>1.9384</v>
      </c>
      <c r="QW4" s="3">
        <f>1-$B$6+QW$25+IF($C$6=$F4,$C$8,0)+$AG4+QQ9</f>
        <v>0.8</v>
      </c>
      <c r="QX4" s="3">
        <f>IF(QW4&lt;1,QW4,(QW4-1)*0.925+1)</f>
        <v>0.8</v>
      </c>
      <c r="QY4" s="3">
        <f>MIN($AF4+QY$25+QP9,1)</f>
        <v>0</v>
      </c>
      <c r="QZ4" s="2">
        <f>IF(QH4="心灵",1,$B$4/($B$4+$C$4*(1-QY4)))</f>
        <v>0.497237569060773</v>
      </c>
      <c r="RA4" s="2" cm="1">
        <f t="array" ref="RA4">INDEX(动作!$I$3:$I$113,QB4)</f>
        <v>0</v>
      </c>
      <c r="RB4" s="6">
        <f ca="1">QR4*(1+QS4)*QV4*QX4*QZ4*QS$28*(1+QZ$25)</f>
        <v>0</v>
      </c>
      <c r="RC4" s="6">
        <f ca="1">RB4*QA$8</f>
        <v>0</v>
      </c>
      <c r="RD4" s="2" cm="1">
        <f t="array" ref="RD4">INDEX(云配队!$J4:$AC4,1,RD$1)</f>
        <v>0</v>
      </c>
      <c r="RE4" s="2" cm="1">
        <f t="array" ref="RE4">IFERROR(MATCH(1,(动作!$A$3:$A$111=$D4)*EXACT(动作!$B$3:$B$111,RD4),0),1)</f>
        <v>1</v>
      </c>
      <c r="RF4" s="2">
        <f>$I4*(1+$J4+RF$25)+$K4+RG$25</f>
        <v>2123.475</v>
      </c>
      <c r="RG4" s="2">
        <f>$L4*(1+$M4+RH$25)+$N4+RI$25</f>
        <v>21198.4</v>
      </c>
      <c r="RH4" s="2">
        <f>$O4*(1+$P4+RJ$25)+$Q4+RK$25</f>
        <v>909</v>
      </c>
      <c r="RI4" s="2">
        <f>$U4+RL$25</f>
        <v>0</v>
      </c>
      <c r="RJ4" s="2" t="str" cm="1">
        <f t="array" ref="RJ4">INDEX(动作!$C$3:$C$113,RE4)</f>
        <v>无</v>
      </c>
      <c r="RK4" s="2" cm="1">
        <f t="array" ref="RK4">INDEX(动作!$D$3:$D$113,RE4)</f>
        <v>0</v>
      </c>
      <c r="RL4" s="2" cm="1">
        <f t="array" ref="RL4">INDEX(动作!$E$3:$E$113,RE4)*$AH4</f>
        <v>0</v>
      </c>
      <c r="RM4" s="2" cm="1">
        <f t="array" ref="RM4">INDEX(动作!$F$3:$F$113,RE4)*$AH4</f>
        <v>0</v>
      </c>
      <c r="RN4" s="2" cm="1">
        <f t="array" ref="RN4">INDEX(动作!$G$3:$G$113,RE4)*$AH4</f>
        <v>0</v>
      </c>
      <c r="RO4" s="2" cm="1">
        <f t="array" ref="RO4">INDEX(动作!$H$3:$H$113,RE4)</f>
        <v>0</v>
      </c>
      <c r="RP4" s="2" cm="1">
        <f t="array" ref="RP4">INDEX(动作!$L$3:$L$113,RE4)*(1+RM$25)*RD$8</f>
        <v>0</v>
      </c>
      <c r="RQ4" s="2" cm="1">
        <f t="array" ref="RQ4">INDEX(动作!$K$3:$K$113,RE4)*RD$8</f>
        <v>0</v>
      </c>
      <c r="RR4" s="2" cm="1">
        <f t="array" ref="RR4">INDEX(动作!$J$3:$J$113,RE4)*RD$8</f>
        <v>0</v>
      </c>
      <c r="RS4" s="2" cm="1">
        <f t="array" ref="RS4">INDEX(动作!$N$3:$N$113,RE4)*RD$8</f>
        <v>0</v>
      </c>
      <c r="RT4" s="5">
        <f>(SUM(RR$4:RR$7)*(0.6+RO$25)+RR4*(0.4-RO$25))*(1+$T4+RN$25)+RS4</f>
        <v>7.56</v>
      </c>
      <c r="RU4" s="5">
        <f>RF4*RL4%+RG4*RM4%+RH4*RN4%+RO4</f>
        <v>0</v>
      </c>
      <c r="RV4" s="3">
        <f ca="1">IFERROR(OFFSET($X4,0,MATCH(RJ4,$Y$3:$AA$3,0)),0)+IF(RK4="心灵",$AB4,$X4)+IF(RK4="附着",$AC4,0)+IF(RK4="追击",$AD4,0)+RV$25+$W4+IF(RD$28,$AE$4,0)+RR9</f>
        <v>0.625</v>
      </c>
      <c r="RW4" s="3">
        <f>IF(RK4="DOT",50%,MIN($R4+RW$25+RP9,1))</f>
        <v>0.69</v>
      </c>
      <c r="RX4" s="3">
        <f>$S4+RX$25+RQ9</f>
        <v>1.36</v>
      </c>
      <c r="RY4" s="5">
        <f>1+RW4*RX4</f>
        <v>1.9384</v>
      </c>
      <c r="RZ4" s="3">
        <f>1-$B$6+RZ$25+IF($C$6=$F4,$C$8,0)+$AG4+RT9</f>
        <v>0.8</v>
      </c>
      <c r="SA4" s="3">
        <f>IF(RZ4&lt;1,RZ4,(RZ4-1)*0.925+1)</f>
        <v>0.8</v>
      </c>
      <c r="SB4" s="3">
        <f>MIN($AF4+SB$25+RS9,1)</f>
        <v>0</v>
      </c>
      <c r="SC4" s="2">
        <f>IF(RK4="心灵",1,$B$4/($B$4+$C$4*(1-SB4)))</f>
        <v>0.497237569060773</v>
      </c>
      <c r="SD4" s="2" cm="1">
        <f t="array" ref="SD4">INDEX(动作!$I$3:$I$113,RE4)</f>
        <v>0</v>
      </c>
      <c r="SE4" s="6">
        <f ca="1">RU4*(1+RV4)*RY4*SA4*SC4*RV$28*(1+SC$25)</f>
        <v>0</v>
      </c>
      <c r="SF4" s="6">
        <f ca="1">SE4*RD$8</f>
        <v>0</v>
      </c>
      <c r="SG4" s="2" cm="1">
        <f t="array" ref="SG4">INDEX(云配队!$J4:$AC4,1,SG$1)</f>
        <v>0</v>
      </c>
      <c r="SH4" s="2" cm="1">
        <f t="array" ref="SH4">IFERROR(MATCH(1,(动作!$A$3:$A$111=$D4)*EXACT(动作!$B$3:$B$111,SG4),0),1)</f>
        <v>1</v>
      </c>
      <c r="SI4" s="2">
        <f>$I4*(1+$J4+SI$25)+$K4+SJ$25</f>
        <v>2123.475</v>
      </c>
      <c r="SJ4" s="2">
        <f>$L4*(1+$M4+SK$25)+$N4+SL$25</f>
        <v>21198.4</v>
      </c>
      <c r="SK4" s="2">
        <f>$O4*(1+$P4+SM$25)+$Q4+SN$25</f>
        <v>909</v>
      </c>
      <c r="SL4" s="2">
        <f>$U4+SO$25</f>
        <v>0</v>
      </c>
      <c r="SM4" s="2" t="str" cm="1">
        <f t="array" ref="SM4">INDEX(动作!$C$3:$C$113,SH4)</f>
        <v>无</v>
      </c>
      <c r="SN4" s="2" cm="1">
        <f t="array" ref="SN4">INDEX(动作!$D$3:$D$113,SH4)</f>
        <v>0</v>
      </c>
      <c r="SO4" s="2" cm="1">
        <f t="array" ref="SO4">INDEX(动作!$E$3:$E$113,SH4)*$AH4</f>
        <v>0</v>
      </c>
      <c r="SP4" s="2" cm="1">
        <f t="array" ref="SP4">INDEX(动作!$F$3:$F$113,SH4)*$AH4</f>
        <v>0</v>
      </c>
      <c r="SQ4" s="2" cm="1">
        <f t="array" ref="SQ4">INDEX(动作!$G$3:$G$113,SH4)*$AH4</f>
        <v>0</v>
      </c>
      <c r="SR4" s="2" cm="1">
        <f t="array" ref="SR4">INDEX(动作!$H$3:$H$113,SH4)</f>
        <v>0</v>
      </c>
      <c r="SS4" s="2" cm="1">
        <f t="array" ref="SS4">INDEX(动作!$L$3:$L$113,SH4)*(1+SP$25)*SG$8</f>
        <v>0</v>
      </c>
      <c r="ST4" s="2" cm="1">
        <f t="array" ref="ST4">INDEX(动作!$K$3:$K$113,SH4)*SG$8</f>
        <v>0</v>
      </c>
      <c r="SU4" s="2" cm="1">
        <f t="array" ref="SU4">INDEX(动作!$J$3:$J$113,SH4)*SG$8</f>
        <v>0</v>
      </c>
      <c r="SV4" s="2" cm="1">
        <f t="array" ref="SV4">INDEX(动作!$N$3:$N$113,SH4)*SG$8</f>
        <v>0</v>
      </c>
      <c r="SW4" s="5">
        <f>(SUM(SU$4:SU$7)*(0.6+SR$25)+SU4*(0.4-SR$25))*(1+$T4+SQ$25)+SV4</f>
        <v>0</v>
      </c>
      <c r="SX4" s="5">
        <f>SI4*SO4%+SJ4*SP4%+SK4*SQ4%+SR4</f>
        <v>0</v>
      </c>
      <c r="SY4" s="3">
        <f ca="1">IFERROR(OFFSET($X4,0,MATCH(SM4,$Y$3:$AA$3,0)),0)+IF(SN4="心灵",$AB4,$X4)+IF(SN4="附着",$AC4,0)+IF(SN4="追击",$AD4,0)+SY$25+$W4+IF(SG$28,$AE$4,0)+SU9</f>
        <v>0.625</v>
      </c>
      <c r="SZ4" s="3">
        <f>IF(SN4="DOT",50%,MIN($R4+SZ$25+SS9,1))</f>
        <v>0.69</v>
      </c>
      <c r="TA4" s="3">
        <f>$S4+TA$25+ST9</f>
        <v>1.36</v>
      </c>
      <c r="TB4" s="5">
        <f>1+SZ4*TA4</f>
        <v>1.9384</v>
      </c>
      <c r="TC4" s="3">
        <f>1-$B$6+TC$25+IF($C$6=$F4,$C$8,0)+$AG4+SW9</f>
        <v>0.8</v>
      </c>
      <c r="TD4" s="3">
        <f>IF(TC4&lt;1,TC4,(TC4-1)*0.925+1)</f>
        <v>0.8</v>
      </c>
      <c r="TE4" s="3">
        <f>MIN($AF4+TE$25+SV9,1)</f>
        <v>0</v>
      </c>
      <c r="TF4" s="2">
        <f>IF(SN4="心灵",1,$B$4/($B$4+$C$4*(1-TE4)))</f>
        <v>0.497237569060773</v>
      </c>
      <c r="TG4" s="2" cm="1">
        <f t="array" ref="TG4">INDEX(动作!$I$3:$I$113,SH4)</f>
        <v>0</v>
      </c>
      <c r="TH4" s="6">
        <f ca="1">SX4*(1+SY4)*TB4*TD4*TF4*SY$28*(1+TF$25)</f>
        <v>0</v>
      </c>
      <c r="TI4" s="6">
        <f ca="1">TH4*SG$8</f>
        <v>0</v>
      </c>
      <c r="TJ4" s="2" cm="1">
        <f t="array" ref="TJ4">INDEX(云配队!$J4:$AC4,1,TJ$1)</f>
        <v>0</v>
      </c>
      <c r="TK4" s="2" cm="1">
        <f t="array" ref="TK4">IFERROR(MATCH(1,(动作!$A$3:$A$111=$D4)*EXACT(动作!$B$3:$B$111,TJ4),0),1)</f>
        <v>1</v>
      </c>
      <c r="TL4" s="2">
        <f>$I4*(1+$J4+TL$25)+$K4+TM$25</f>
        <v>2123.475</v>
      </c>
      <c r="TM4" s="2">
        <f>$L4*(1+$M4+TN$25)+$N4+TO$25</f>
        <v>21198.4</v>
      </c>
      <c r="TN4" s="2">
        <f>$O4*(1+$P4+TP$25)+$Q4+TQ$25</f>
        <v>909</v>
      </c>
      <c r="TO4" s="2">
        <f>$U4+TR$25</f>
        <v>0</v>
      </c>
      <c r="TP4" s="2" t="str" cm="1">
        <f t="array" ref="TP4">INDEX(动作!$C$3:$C$113,TK4)</f>
        <v>无</v>
      </c>
      <c r="TQ4" s="2" cm="1">
        <f t="array" ref="TQ4">INDEX(动作!$D$3:$D$113,TK4)</f>
        <v>0</v>
      </c>
      <c r="TR4" s="2" cm="1">
        <f t="array" ref="TR4">INDEX(动作!$E$3:$E$113,TK4)*$AH4</f>
        <v>0</v>
      </c>
      <c r="TS4" s="2" cm="1">
        <f t="array" ref="TS4">INDEX(动作!$F$3:$F$113,TK4)*$AH4</f>
        <v>0</v>
      </c>
      <c r="TT4" s="2" cm="1">
        <f t="array" ref="TT4">INDEX(动作!$G$3:$G$113,TK4)*$AH4</f>
        <v>0</v>
      </c>
      <c r="TU4" s="2" cm="1">
        <f t="array" ref="TU4">INDEX(动作!$H$3:$H$113,TK4)</f>
        <v>0</v>
      </c>
      <c r="TV4" s="2" cm="1">
        <f t="array" ref="TV4">INDEX(动作!$L$3:$L$113,TK4)*(1+TS$25)*TJ$8</f>
        <v>0</v>
      </c>
      <c r="TW4" s="2" cm="1">
        <f t="array" ref="TW4">INDEX(动作!$K$3:$K$113,TK4)*TJ$8</f>
        <v>0</v>
      </c>
      <c r="TX4" s="2" cm="1">
        <f t="array" ref="TX4">INDEX(动作!$J$3:$J$113,TK4)*TJ$8</f>
        <v>0</v>
      </c>
      <c r="TY4" s="2" cm="1">
        <f t="array" ref="TY4">INDEX(动作!$N$3:$N$113,TK4)*TJ$8</f>
        <v>0</v>
      </c>
      <c r="TZ4" s="5">
        <f>(SUM(TX$4:TX$7)*(0.6+TU$25)+TX4*(0.4-TU$25))*(1+$T4+TT$25)+TY4</f>
        <v>0</v>
      </c>
      <c r="UA4" s="5">
        <f>TL4*TR4%+TM4*TS4%+TN4*TT4%+TU4</f>
        <v>0</v>
      </c>
      <c r="UB4" s="3">
        <f ca="1">IFERROR(OFFSET($X4,0,MATCH(TP4,$Y$3:$AA$3,0)),0)+IF(TQ4="心灵",$AB4,$X4)+IF(TQ4="附着",$AC4,0)+IF(TQ4="追击",$AD4,0)+UB$25+$W4+IF(TJ$28,$AE$4,0)+TX9</f>
        <v>0.625</v>
      </c>
      <c r="UC4" s="3">
        <f>IF(TQ4="DOT",50%,MIN($R4+UC$25+TV9,1))</f>
        <v>0.69</v>
      </c>
      <c r="UD4" s="3">
        <f>$S4+UD$25+TW9</f>
        <v>1.36</v>
      </c>
      <c r="UE4" s="5">
        <f>1+UC4*UD4</f>
        <v>1.9384</v>
      </c>
      <c r="UF4" s="3">
        <f>1-$B$6+UF$25+IF($C$6=$F4,$C$8,0)+$AG4+TZ9</f>
        <v>0.8</v>
      </c>
      <c r="UG4" s="3">
        <f>IF(UF4&lt;1,UF4,(UF4-1)*0.925+1)</f>
        <v>0.8</v>
      </c>
      <c r="UH4" s="3">
        <f>MIN($AF4+UH$25+TY9,1)</f>
        <v>0</v>
      </c>
      <c r="UI4" s="2">
        <f>IF(TQ4="心灵",1,$B$4/($B$4+$C$4*(1-UH4)))</f>
        <v>0.497237569060773</v>
      </c>
      <c r="UJ4" s="2" cm="1">
        <f t="array" ref="UJ4">INDEX(动作!$I$3:$I$113,TK4)</f>
        <v>0</v>
      </c>
      <c r="UK4" s="6">
        <f ca="1">UA4*(1+UB4)*UE4*UG4*UI4*UB$28*(1+UI$25)</f>
        <v>0</v>
      </c>
      <c r="UL4" s="6">
        <f ca="1">UK4*TJ$8</f>
        <v>0</v>
      </c>
      <c r="UM4" s="2" t="str" cm="1">
        <f t="array" ref="UM4">INDEX(云配队!$J4:$AC4,1,UM$1)</f>
        <v>C觉追击</v>
      </c>
      <c r="UN4" s="2" cm="1">
        <f t="array" ref="UN4">IFERROR(MATCH(1,(动作!$A$3:$A$111=$D4)*EXACT(动作!$B$3:$B$111,UM4),0),1)</f>
        <v>28</v>
      </c>
      <c r="UO4" s="2">
        <f>$I4*(1+$J4+UO$25)+$K4+UP$25</f>
        <v>2123.475</v>
      </c>
      <c r="UP4" s="2">
        <f>$L4*(1+$M4+UQ$25)+$N4+UR$25</f>
        <v>21198.4</v>
      </c>
      <c r="UQ4" s="2">
        <f>$O4*(1+$P4+US$25)+$Q4+UT$25</f>
        <v>909</v>
      </c>
      <c r="UR4" s="2">
        <f>$U4+UU$25</f>
        <v>0</v>
      </c>
      <c r="US4" s="2" t="str" cm="1">
        <f t="array" ref="US4">INDEX(动作!$C$3:$C$113,UN4)</f>
        <v>普攻</v>
      </c>
      <c r="UT4" s="2" t="str" cm="1">
        <f t="array" ref="UT4">INDEX(动作!$D$3:$D$113,UN4)</f>
        <v>追击</v>
      </c>
      <c r="UU4" s="2" cm="1">
        <f t="array" ref="UU4">INDEX(动作!$E$3:$E$113,UN4)*$AH4</f>
        <v>99.9502313552217</v>
      </c>
      <c r="UV4" s="2" cm="1">
        <f t="array" ref="UV4">INDEX(动作!$F$3:$F$113,UN4)*$AH4</f>
        <v>0</v>
      </c>
      <c r="UW4" s="2" cm="1">
        <f t="array" ref="UW4">INDEX(动作!$G$3:$G$113,UN4)*$AH4</f>
        <v>0</v>
      </c>
      <c r="UX4" s="2" cm="1">
        <f t="array" ref="UX4">INDEX(动作!$H$3:$H$113,UN4)</f>
        <v>0</v>
      </c>
      <c r="UY4" s="2" cm="1">
        <f t="array" ref="UY4">INDEX(动作!$L$3:$L$113,UN4)*(1+UV$25)*UM$8</f>
        <v>0</v>
      </c>
      <c r="UZ4" s="2" cm="1">
        <f t="array" ref="UZ4">INDEX(动作!$K$3:$K$113,UN4)*UM$8</f>
        <v>0</v>
      </c>
      <c r="VA4" s="2" cm="1">
        <f t="array" ref="VA4">INDEX(动作!$J$3:$J$113,UN4)*UM$8</f>
        <v>0</v>
      </c>
      <c r="VB4" s="2" cm="1">
        <f t="array" ref="VB4">INDEX(动作!$N$3:$N$113,UN4)*UM$8</f>
        <v>0</v>
      </c>
      <c r="VC4" s="5">
        <f>(SUM(VA$4:VA$7)*(0.6+UX$25)+VA4*(0.4-UX$25))*(1+$T4+UW$25)+VB4</f>
        <v>0</v>
      </c>
      <c r="VD4" s="5">
        <f>UO4*UU4%+UP4*UV4%+UQ4*UW4%+UX4</f>
        <v>2122.41817527029</v>
      </c>
      <c r="VE4" s="3">
        <f ca="1">IFERROR(OFFSET($X4,0,MATCH(US4,$Y$3:$AA$3,0)),0)+IF(UT4="心灵",$AB4,$X4)+IF(UT4="附着",$AC4,0)+IF(UT4="追击",$AD4,0)+VE$25+$W4+IF(UM$28,$AE$4,0)+VA9</f>
        <v>0.85</v>
      </c>
      <c r="VF4" s="3">
        <f>IF(UT4="DOT",50%,MIN($R4+VF$25+UY9,1))</f>
        <v>0.69</v>
      </c>
      <c r="VG4" s="3">
        <f>$S4+VG$25+UZ9</f>
        <v>1.36</v>
      </c>
      <c r="VH4" s="5">
        <f>1+VF4*VG4</f>
        <v>1.9384</v>
      </c>
      <c r="VI4" s="3">
        <f>1-$B$6+VI$25+IF($C$6=$F4,$C$8,0)+$AG4+VC9</f>
        <v>0.8</v>
      </c>
      <c r="VJ4" s="3">
        <f>IF(VI4&lt;1,VI4,(VI4-1)*0.925+1)</f>
        <v>0.8</v>
      </c>
      <c r="VK4" s="3">
        <f>MIN($AF4+VK$25+VB9,1)</f>
        <v>0</v>
      </c>
      <c r="VL4" s="2">
        <f>IF(UT4="心灵",1,$B$4/($B$4+$C$4*(1-VK4)))</f>
        <v>0.497237569060773</v>
      </c>
      <c r="VM4" s="2" cm="1">
        <f t="array" ref="VM4">INDEX(动作!$I$3:$I$113,UN4)</f>
        <v>0</v>
      </c>
      <c r="VN4" s="6">
        <f ca="1">VD4*(1+VE4)*VH4*VJ4*VL4*VE$28*(1+VL$25)</f>
        <v>3027.61053079409</v>
      </c>
      <c r="VO4" s="6">
        <f ca="1">VN4*UM$8</f>
        <v>36331.3263695291</v>
      </c>
      <c r="VP4" s="2" cm="1">
        <f t="array" ref="VP4">INDEX(云配队!$J4:$AC4,1,VP$1)</f>
        <v>0</v>
      </c>
      <c r="VQ4" s="2" cm="1">
        <f t="array" ref="VQ4">IFERROR(MATCH(1,(动作!$A$3:$A$111=$D4)*EXACT(动作!$B$3:$B$111,VP4),0),1)</f>
        <v>1</v>
      </c>
      <c r="VR4" s="2">
        <f>$I4*(1+$J4+VR$25)+$K4+VS$25</f>
        <v>2123.475</v>
      </c>
      <c r="VS4" s="2">
        <f>$L4*(1+$M4+VT$25)+$N4+VU$25</f>
        <v>21198.4</v>
      </c>
      <c r="VT4" s="2">
        <f>$O4*(1+$P4+VV$25)+$Q4+VW$25</f>
        <v>909</v>
      </c>
      <c r="VU4" s="2">
        <f>$U4+VX$25</f>
        <v>0</v>
      </c>
      <c r="VV4" s="2" t="str" cm="1">
        <f t="array" ref="VV4">INDEX(动作!$C$3:$C$113,VQ4)</f>
        <v>无</v>
      </c>
      <c r="VW4" s="2" cm="1">
        <f t="array" ref="VW4">INDEX(动作!$D$3:$D$113,VQ4)</f>
        <v>0</v>
      </c>
      <c r="VX4" s="2" cm="1">
        <f t="array" ref="VX4">INDEX(动作!$E$3:$E$113,VQ4)*$AH4</f>
        <v>0</v>
      </c>
      <c r="VY4" s="2" cm="1">
        <f t="array" ref="VY4">INDEX(动作!$F$3:$F$113,VQ4)*$AH4</f>
        <v>0</v>
      </c>
      <c r="VZ4" s="2" cm="1">
        <f t="array" ref="VZ4">INDEX(动作!$G$3:$G$113,VQ4)*$AH4</f>
        <v>0</v>
      </c>
      <c r="WA4" s="2" cm="1">
        <f t="array" ref="WA4">INDEX(动作!$H$3:$H$113,VQ4)</f>
        <v>0</v>
      </c>
      <c r="WB4" s="2" cm="1">
        <f t="array" ref="WB4">INDEX(动作!$L$3:$L$113,VQ4)*(1+VY$25)*VP$8</f>
        <v>0</v>
      </c>
      <c r="WC4" s="2" cm="1">
        <f t="array" ref="WC4">INDEX(动作!$K$3:$K$113,VQ4)*VP$8</f>
        <v>0</v>
      </c>
      <c r="WD4" s="2" cm="1">
        <f t="array" ref="WD4">INDEX(动作!$J$3:$J$113,VQ4)*VP$8</f>
        <v>0</v>
      </c>
      <c r="WE4" s="2" cm="1">
        <f t="array" ref="WE4">INDEX(动作!$N$3:$N$113,VQ4)*VP$8</f>
        <v>0</v>
      </c>
      <c r="WF4" s="5">
        <f>(SUM(WD$4:WD$7)*(0.6+WA$25)+WD4*(0.4-WA$25))*(1+$T4+VZ$25)+WE4</f>
        <v>0</v>
      </c>
      <c r="WG4" s="5">
        <f>VR4*VX4%+VS4*VY4%+VT4*VZ4%+WA4</f>
        <v>0</v>
      </c>
      <c r="WH4" s="3">
        <f ca="1">IFERROR(OFFSET($X4,0,MATCH(VV4,$Y$3:$AA$3,0)),0)+IF(VW4="心灵",$AB4,$X4)+IF(VW4="附着",$AC4,0)+IF(VW4="追击",$AD4,0)+WH$25+$W4+IF(VP$28,$AE$4,0)+WD9</f>
        <v>0.625</v>
      </c>
      <c r="WI4" s="3">
        <f>IF(VW4="DOT",50%,MIN($R4+WI$25+WB9,1))</f>
        <v>0.69</v>
      </c>
      <c r="WJ4" s="3">
        <f>$S4+WJ$25+WC9</f>
        <v>1.36</v>
      </c>
      <c r="WK4" s="5">
        <f>1+WI4*WJ4</f>
        <v>1.9384</v>
      </c>
      <c r="WL4" s="3">
        <f>1-$B$6+WL$25+IF($C$6=$F4,$C$8,0)+$AG4+WF9</f>
        <v>0.8</v>
      </c>
      <c r="WM4" s="3">
        <f>IF(WL4&lt;1,WL4,(WL4-1)*0.925+1)</f>
        <v>0.8</v>
      </c>
      <c r="WN4" s="3">
        <f>MIN($AF4+WN$25+WE9,1)</f>
        <v>0.1675</v>
      </c>
      <c r="WO4" s="2">
        <f>IF(VW4="心灵",1,$B$4/($B$4+$C$4*(1-WN4)))</f>
        <v>0.542961856929551</v>
      </c>
      <c r="WP4" s="2" cm="1">
        <f t="array" ref="WP4">INDEX(动作!$I$3:$I$113,VQ4)</f>
        <v>0</v>
      </c>
      <c r="WQ4" s="6">
        <f ca="1">WG4*(1+WH4)*WK4*WM4*WO4*WH$28*(1+WO$25)</f>
        <v>0</v>
      </c>
      <c r="WR4" s="6">
        <f ca="1">WQ4*VP$8</f>
        <v>0</v>
      </c>
    </row>
    <row r="5" spans="1:616">
      <c r="A5" s="2" t="s">
        <v>32</v>
      </c>
      <c r="B5" s="2" t="s">
        <v>39</v>
      </c>
      <c r="C5" s="2" t="s">
        <v>40</v>
      </c>
      <c r="D5" s="2" t="str">
        <f>云配队!F5</f>
        <v>主角</v>
      </c>
      <c r="E5" s="2">
        <f>MATCH($D5,角色!$A$3:$A$18,0)</f>
        <v>1</v>
      </c>
      <c r="F5" s="2" t="str">
        <f>VLOOKUP($D5,配装!$A$3:$B$18,2,FALSE)</f>
        <v>光</v>
      </c>
      <c r="G5" s="2">
        <f>MATCH(云配队!G5,弧盘!$A$3:$A$51,0)</f>
        <v>6</v>
      </c>
      <c r="H5" s="2">
        <f>MATCH(云配队!H5,卡带!$A$3:$A$14,0)</f>
        <v>1</v>
      </c>
      <c r="I5" s="2" cm="1">
        <f t="array" ref="I5">INDEX(配装!D$3:D$18,$E5)</f>
        <v>1187.75</v>
      </c>
      <c r="J5" s="3" cm="1">
        <f t="array" ref="J5">INDEX(配装!E$3:E$18,$E5)+INDEX(弧盘!$R$3:$R$51,G5)+INDEX(卡带!$O$3:$O$14,H5)</f>
        <v>1.025</v>
      </c>
      <c r="K5" s="2" cm="1">
        <f t="array" ref="K5">INDEX(配装!F$3:F$18,$E5)</f>
        <v>420</v>
      </c>
      <c r="L5" s="2" cm="1">
        <f t="array" ref="L5">INDEX(配装!H$3:H$18,$E5)</f>
        <v>15150</v>
      </c>
      <c r="M5" s="2" cm="1">
        <f t="array" ref="M5">INDEX(配装!I$3:I$18,$E5)</f>
        <v>0</v>
      </c>
      <c r="N5" s="2" cm="1">
        <f t="array" ref="N5">INDEX(配装!J$3:J$18,$E5)</f>
        <v>5200</v>
      </c>
      <c r="O5" s="2" cm="1">
        <f t="array" ref="O5">INDEX(配装!L$3:L$18,$E5)</f>
        <v>909</v>
      </c>
      <c r="P5" s="2" cm="1">
        <f t="array" ref="P5">INDEX(配装!M$3:M$18,$E5)</f>
        <v>0</v>
      </c>
      <c r="Q5" s="2" cm="1">
        <f t="array" ref="Q5">INDEX(配装!N$3:N$18,$E5)</f>
        <v>0</v>
      </c>
      <c r="R5" s="4" cm="1">
        <f t="array" ref="R5">INDEX(配装!P$3:P$18,$E5)+INDEX(弧盘!P$3:P$51,$G5)+INDEX(卡带!M$3:M$14,$H5)</f>
        <v>0.15</v>
      </c>
      <c r="S5" s="4" cm="1">
        <f t="array" ref="S5">INDEX(配装!Q$3:Q$18,$E5)+INDEX(弧盘!Q$3:Q$51,$G5)+INDEX(卡带!N$3:N$14,$H5)</f>
        <v>0.7</v>
      </c>
      <c r="T5" s="5" cm="1">
        <f t="array" ref="T5">INDEX(配装!S$3:S$18,$E5)</f>
        <v>0.33</v>
      </c>
      <c r="U5" s="5" cm="1">
        <f t="array" ref="U5">INDEX(配装!T$3:T$18,$E5)+INDEX(弧盘!V$3:V$51,$G5)</f>
        <v>270</v>
      </c>
      <c r="V5" s="5" cm="1">
        <f t="array" ref="V5">INDEX(配装!U$3:U$18,$E5)+INDEX(弧盘!W$3:W$51,$G5)+IF(T11&gt;=3,126,0)</f>
        <v>0</v>
      </c>
      <c r="W5" s="4" cm="1">
        <f t="array" ref="W5">INDEX(角色!W$3:W$18,$E5)+INDEX(弧盘!X$3:X$51,$G5)+INDEX(卡带!Q$3:Q$15,$H5)+INDEX(配装!$AG$3:$AG$18,$E5)</f>
        <v>0.4</v>
      </c>
      <c r="X5" s="4" cm="1">
        <f t="array" ref="X5">INDEX(配装!$R$3:$R$18,E5)+INDEX(弧盘!Y$3:Y$51,$G5)+INDEX(卡带!R$3:R$15,$H5)</f>
        <v>0.1</v>
      </c>
      <c r="Y5" s="4" cm="1">
        <f t="array" ref="Y5">INDEX(角色!Y$3:Y$18,$E5)+INDEX(弧盘!Z$3:Z$51,$G5)+INDEX(卡带!S$3:S$15,$H5)</f>
        <v>0</v>
      </c>
      <c r="Z5" s="4" cm="1">
        <f t="array" ref="Z5">INDEX(角色!Z$3:Z$18,$E5)+INDEX(弧盘!AA$3:AA$51,$G5)+INDEX(卡带!T$3:T$15,$H5)</f>
        <v>0</v>
      </c>
      <c r="AA5" s="4" cm="1">
        <f t="array" ref="AA5">INDEX(角色!AA$3:AA$18,$E5)+INDEX(弧盘!AB$3:AB$51,$G5)+INDEX(卡带!U$3:U$15,$H5)</f>
        <v>0.5</v>
      </c>
      <c r="AB5" s="4" cm="1">
        <f t="array" ref="AB5">INDEX(角色!AB$3:AB$18,$E5)+INDEX(弧盘!AC$3:AC$51,$G5)+INDEX(卡带!V$3:V$15,$H5)+INDEX(卡带!$I$3:$I$14,$H$4)</f>
        <v>0</v>
      </c>
      <c r="AC5" s="4" cm="1">
        <f t="array" ref="AC5">INDEX(角色!AC$3:AC$18,$E5)+INDEX(弧盘!AD$3:AD$51,$G5)</f>
        <v>0</v>
      </c>
      <c r="AD5" s="4" cm="1">
        <f t="array" ref="AD5">INDEX(角色!AD$3:AD$18,$E5)+INDEX(弧盘!AE$3:AE$51,$G5)</f>
        <v>0</v>
      </c>
      <c r="AE5" s="4" cm="1">
        <f t="array" ref="AE5">INDEX(角色!AE$3:AE$18,$E5)+INDEX(弧盘!AF$3:AF$51,$G5)</f>
        <v>0</v>
      </c>
      <c r="AF5" s="4" cm="1">
        <f t="array" ref="AF5">INDEX(角色!R$3:R$18,$E5)+INDEX(卡带!K$3:K$14,$H5)</f>
        <v>0</v>
      </c>
      <c r="AG5" s="4" cm="1">
        <f t="array" ref="AG5">INDEX(角色!S$3:S$18,$E5)+INDEX(卡带!L$3:L$14,$H5)</f>
        <v>0</v>
      </c>
      <c r="AH5" s="2" cm="1">
        <f t="array" ref="AH5">INDEX(配装!$AA$3:$AA$18,E5)</f>
        <v>2.15892499727279</v>
      </c>
      <c r="AK5" s="2" t="str" cm="1">
        <f t="array" ref="AK5">INDEX(云配队!$J5:$AC5,1,AK$1)</f>
        <v>e</v>
      </c>
      <c r="AL5" s="2" cm="1">
        <f t="array" ref="AL5">IFERROR(MATCH(1,(动作!$A$3:$A$111=$D5)*EXACT(动作!$B$3:$B$111,AK5),0),1)</f>
        <v>3</v>
      </c>
      <c r="AM5" s="2">
        <f>$I5*(1+$J5+AM$25)+$K5+AN$25</f>
        <v>2914.275</v>
      </c>
      <c r="AN5" s="2">
        <f>$L5*(1+$M5+AO$25)+$N5+AP$25</f>
        <v>20350</v>
      </c>
      <c r="AO5" s="2">
        <f>$O5*(1+$P5+AQ$25)+$Q5+AR$25</f>
        <v>909</v>
      </c>
      <c r="AP5" s="2">
        <f>$U5+AS$25</f>
        <v>270</v>
      </c>
      <c r="AQ5" s="2" t="str" cm="1">
        <f t="array" ref="AQ5">INDEX(动作!$C$3:$C$113,AL5)</f>
        <v>E</v>
      </c>
      <c r="AR5" s="2" cm="1">
        <f t="array" ref="AR5">INDEX(动作!$D$3:$D$113,AL5)</f>
        <v>0</v>
      </c>
      <c r="AS5" s="2" cm="1">
        <f t="array" ref="AS5">INDEX(动作!$E$3:$E$113,AL5)*$AH5</f>
        <v>647.677499181837</v>
      </c>
      <c r="AT5" s="2" cm="1">
        <f t="array" ref="AT5">INDEX(动作!$F$3:$F$113,AL5)*$AH5</f>
        <v>0</v>
      </c>
      <c r="AU5" s="2" cm="1">
        <f t="array" ref="AU5">INDEX(动作!$G$3:$G$113,AL5)*$AH5</f>
        <v>0</v>
      </c>
      <c r="AV5" s="2" cm="1">
        <f t="array" ref="AV5">INDEX(动作!$H$3:$H$113,AL5)</f>
        <v>0</v>
      </c>
      <c r="AW5" s="2" cm="1">
        <f t="array" ref="AW5">INDEX(动作!$L$3:$L$113,AL5)*(1+AT$25)*AK$8</f>
        <v>1.8</v>
      </c>
      <c r="AX5" s="2" cm="1">
        <f t="array" ref="AX5">INDEX(动作!$K$3:$K$113,AL5)*AK$8</f>
        <v>100</v>
      </c>
      <c r="AY5" s="2" cm="1">
        <f t="array" ref="AY5">INDEX(动作!$J$3:$J$113,AL5)*AK$8</f>
        <v>8.801</v>
      </c>
      <c r="AZ5" s="2" cm="1">
        <f t="array" ref="AZ5">INDEX(动作!$N$3:$N$113,AL5)*AK$8</f>
        <v>8</v>
      </c>
      <c r="BA5" s="5">
        <f>(SUM(AY$4:AY$7)*(0.6+AV$25)+AY5*(0.4-AV$25))*(1+$T5+AU$25)+AZ5</f>
        <v>19.70533</v>
      </c>
      <c r="BB5" s="5">
        <f>AM5*AS5%+AN5*AT5%+AO5*AU5%+AV5</f>
        <v>18875.1034392815</v>
      </c>
      <c r="BC5" s="3">
        <f ca="1">IFERROR(OFFSET($X5,0,MATCH(AQ5,$Y$3:$AA$3,0)),0)+IF(AR5="心灵",$AB5,$X5)+IF(AR5="附着",$AC5,0)+IF(AR5="追击",$AD5,0)+BC$25+$W5+IF(AK$28,$AE$4,0)+AY10</f>
        <v>0.5</v>
      </c>
      <c r="BD5" s="3">
        <f>IF(AR5="DOT",50%,MIN($R5+BD$25+AW10,1))</f>
        <v>0.15</v>
      </c>
      <c r="BE5" s="3">
        <f>$S5+BE$25+AX10</f>
        <v>0.7</v>
      </c>
      <c r="BF5" s="5">
        <f>1+BD5*BE5</f>
        <v>1.105</v>
      </c>
      <c r="BG5" s="3">
        <f>1-$B$6+BG$25+IF($C$6=$F5,$C$8,0)+$AG5+BA10</f>
        <v>0.8</v>
      </c>
      <c r="BH5" s="3">
        <f>IF(BG5&lt;1,BG5,(BG5-1)*0.925+1)</f>
        <v>0.8</v>
      </c>
      <c r="BI5" s="3">
        <f>MIN($AF5+BI$25+AZ10,1)</f>
        <v>0.1675</v>
      </c>
      <c r="BJ5" s="2">
        <f>IF(AR5="心灵",1,$B$4/($B$4+$C$4*(1-BI5)))</f>
        <v>0.542961856929551</v>
      </c>
      <c r="BK5" s="2" cm="1">
        <f t="array" ref="BK5">INDEX(动作!$I$3:$I$113,AL5)</f>
        <v>0.2</v>
      </c>
      <c r="BL5" s="6">
        <f ca="1">BB5*(1+BC5)*BF5*BH5*BJ5*BC$28*(1+BJ$25)</f>
        <v>13589.4595686099</v>
      </c>
      <c r="BM5" s="6">
        <f ca="1">BL5*AK$8</f>
        <v>13589.4595686099</v>
      </c>
      <c r="BN5" s="2" t="str" cm="1">
        <f t="array" ref="BN5">INDEX(云配队!$J5:$AC5,1,BN$1)</f>
        <v>q</v>
      </c>
      <c r="BO5" s="2" cm="1">
        <f t="array" ref="BO5">IFERROR(MATCH(1,(动作!$A$3:$A$111=$D5)*EXACT(动作!$B$3:$B$111,BN5),0),1)</f>
        <v>5</v>
      </c>
      <c r="BP5" s="2">
        <f>$I5*(1+$J5+BP$25)+$K5+BQ$25</f>
        <v>2914.275</v>
      </c>
      <c r="BQ5" s="2">
        <f>$L5*(1+$M5+BR$25)+$N5+BS$25</f>
        <v>20350</v>
      </c>
      <c r="BR5" s="2">
        <f>$O5*(1+$P5+BT$25)+$Q5+BU$25</f>
        <v>909</v>
      </c>
      <c r="BS5" s="2">
        <f>$U5+BV$25</f>
        <v>270</v>
      </c>
      <c r="BT5" s="2" t="str" cm="1">
        <f t="array" ref="BT5">INDEX(动作!$C$3:$C$113,BO5)</f>
        <v>Q</v>
      </c>
      <c r="BU5" s="2" cm="1">
        <f t="array" ref="BU5">INDEX(动作!$D$3:$D$113,BO5)</f>
        <v>0</v>
      </c>
      <c r="BV5" s="2" cm="1">
        <f t="array" ref="BV5">INDEX(动作!$E$3:$E$113,BO5)*$AH5</f>
        <v>1079.46249863639</v>
      </c>
      <c r="BW5" s="2" cm="1">
        <f t="array" ref="BW5">INDEX(动作!$F$3:$F$113,BO5)*$AH5</f>
        <v>0</v>
      </c>
      <c r="BX5" s="2" cm="1">
        <f t="array" ref="BX5">INDEX(动作!$G$3:$G$113,BO5)*$AH5</f>
        <v>0</v>
      </c>
      <c r="BY5" s="2" cm="1">
        <f t="array" ref="BY5">INDEX(动作!$H$3:$H$113,BO5)</f>
        <v>0</v>
      </c>
      <c r="BZ5" s="2" cm="1">
        <f t="array" ref="BZ5">INDEX(动作!$L$3:$L$113,BO5)*(1+BW$25)*BN$8</f>
        <v>1.001167</v>
      </c>
      <c r="CA5" s="2" cm="1">
        <f t="array" ref="CA5">INDEX(动作!$K$3:$K$113,BO5)*BN$8</f>
        <v>0</v>
      </c>
      <c r="CB5" s="2" cm="1">
        <f t="array" ref="CB5">INDEX(动作!$J$3:$J$113,BO5)*BN$8</f>
        <v>0</v>
      </c>
      <c r="CC5" s="2" cm="1">
        <f t="array" ref="CC5">INDEX(动作!$N$3:$N$113,BO5)*BN$8</f>
        <v>0</v>
      </c>
      <c r="CD5" s="5">
        <f>(SUM(CB$4:CB$7)*(0.6+BY$25)+CB5*(0.4-BY$25))*(1+$T5+BX$25)+CC5</f>
        <v>0</v>
      </c>
      <c r="CE5" s="5">
        <f>BP5*BV5%+BQ5*BW5%+BR5*BX5%+BY5</f>
        <v>31458.5057321358</v>
      </c>
      <c r="CF5" s="3">
        <f ca="1">IFERROR(OFFSET($X5,0,MATCH(BT5,$Y$3:$AA$3,0)),0)+IF(BU5="心灵",$AB5,$X5)+IF(BU5="附着",$AC5,0)+IF(BU5="追击",$AD5,0)+CF$25+$W5+IF(BN$28,$AE$4,0)+CB10</f>
        <v>1</v>
      </c>
      <c r="CG5" s="3">
        <f>IF(BU5="DOT",50%,MIN($R5+CG$25+BZ10,1))</f>
        <v>0.65</v>
      </c>
      <c r="CH5" s="3">
        <f>$S5+CH$25+CA10</f>
        <v>0.7</v>
      </c>
      <c r="CI5" s="5">
        <f>1+CG5*CH5</f>
        <v>1.455</v>
      </c>
      <c r="CJ5" s="3">
        <f>1-$B$6+CJ$25+IF($C$6=$F5,$C$8,0)+$AG5+CD10</f>
        <v>0.8</v>
      </c>
      <c r="CK5" s="3">
        <f>IF(CJ5&lt;1,CJ5,(CJ5-1)*0.925+1)</f>
        <v>0.8</v>
      </c>
      <c r="CL5" s="3">
        <f>MIN($AF5+CL$25+CC10,1)</f>
        <v>0.25</v>
      </c>
      <c r="CM5" s="2">
        <f>IF(BU5="心灵",1,$B$4/($B$4+$C$4*(1-CL5)))</f>
        <v>0.568720379146919</v>
      </c>
      <c r="CN5" s="2" cm="1">
        <f t="array" ref="CN5">INDEX(动作!$I$3:$I$113,BO5)</f>
        <v>0</v>
      </c>
      <c r="CO5" s="6">
        <f ca="1">CE5*(1+CF5)*CI5*CK5*CM5*CF$28*(1+CM$25)</f>
        <v>41650.4652195709</v>
      </c>
      <c r="CP5" s="6">
        <f ca="1">CO5*BN$8</f>
        <v>27780.8603014538</v>
      </c>
      <c r="CQ5" s="2" cm="1">
        <f t="array" ref="CQ5">INDEX(云配队!$J5:$AC5,1,CQ$1)</f>
        <v>0</v>
      </c>
      <c r="CR5" s="2" cm="1">
        <f t="array" ref="CR5">IFERROR(MATCH(1,(动作!$A$3:$A$111=$D5)*EXACT(动作!$B$3:$B$111,CQ5),0),1)</f>
        <v>1</v>
      </c>
      <c r="CS5" s="2">
        <f>$I5*(1+$J5+CS$25)+$K5+CT$25</f>
        <v>2914.275</v>
      </c>
      <c r="CT5" s="2">
        <f>$L5*(1+$M5+CU$25)+$N5+CV$25</f>
        <v>20350</v>
      </c>
      <c r="CU5" s="2">
        <f>$O5*(1+$P5+CW$25)+$Q5+CX$25</f>
        <v>909</v>
      </c>
      <c r="CV5" s="2">
        <f>$U5+CY$25</f>
        <v>270</v>
      </c>
      <c r="CW5" s="2" t="str" cm="1">
        <f t="array" ref="CW5">INDEX(动作!$C$3:$C$113,CR5)</f>
        <v>无</v>
      </c>
      <c r="CX5" s="2" cm="1">
        <f t="array" ref="CX5">INDEX(动作!$D$3:$D$113,CR5)</f>
        <v>0</v>
      </c>
      <c r="CY5" s="2" cm="1">
        <f t="array" ref="CY5">INDEX(动作!$E$3:$E$113,CR5)*$AH5</f>
        <v>0</v>
      </c>
      <c r="CZ5" s="2" cm="1">
        <f t="array" ref="CZ5">INDEX(动作!$F$3:$F$113,CR5)*$AH5</f>
        <v>0</v>
      </c>
      <c r="DA5" s="2" cm="1">
        <f t="array" ref="DA5">INDEX(动作!$G$3:$G$113,CR5)*$AH5</f>
        <v>0</v>
      </c>
      <c r="DB5" s="2" cm="1">
        <f t="array" ref="DB5">INDEX(动作!$H$3:$H$113,CR5)</f>
        <v>0</v>
      </c>
      <c r="DC5" s="2" cm="1">
        <f t="array" ref="DC5">INDEX(动作!$L$3:$L$113,CR5)*(1+CZ$25)*CQ$8</f>
        <v>0</v>
      </c>
      <c r="DD5" s="2" cm="1">
        <f t="array" ref="DD5">INDEX(动作!$K$3:$K$113,CR5)*CQ$8</f>
        <v>0</v>
      </c>
      <c r="DE5" s="2" cm="1">
        <f t="array" ref="DE5">INDEX(动作!$J$3:$J$113,CR5)*CQ$8</f>
        <v>0</v>
      </c>
      <c r="DF5" s="2" cm="1">
        <f t="array" ref="DF5">INDEX(动作!$N$3:$N$113,CR5)*CQ$8</f>
        <v>0</v>
      </c>
      <c r="DG5" s="5">
        <f>(SUM(DE$4:DE$7)*(0.6+DB$25)+DE5*(0.4-DB$25))*(1+$T5+DA$25)+DF5</f>
        <v>5.0274</v>
      </c>
      <c r="DH5" s="5">
        <f>CS5*CY5%+CT5*CZ5%+CU5*DA5%+DB5</f>
        <v>0</v>
      </c>
      <c r="DI5" s="3">
        <f ca="1">IFERROR(OFFSET($X5,0,MATCH(CW5,$Y$3:$AA$3,0)),0)+IF(CX5="心灵",$AB5,$X5)+IF(CX5="附着",$AC5,0)+IF(CX5="追击",$AD5,0)+DI$25+$W5+IF(CQ$28,$AE$4,0)+DE10</f>
        <v>0.5</v>
      </c>
      <c r="DJ5" s="3">
        <f>IF(CX5="DOT",50%,MIN($R5+DJ$25+DC10,1))</f>
        <v>0.15</v>
      </c>
      <c r="DK5" s="3">
        <f>$S5+DK$25+DD10</f>
        <v>1</v>
      </c>
      <c r="DL5" s="5">
        <f>1+DJ5*DK5</f>
        <v>1.15</v>
      </c>
      <c r="DM5" s="3">
        <f>1-$B$6+DM$25+IF($C$6=$F5,$C$8,0)+$AG5+DG10</f>
        <v>0.8</v>
      </c>
      <c r="DN5" s="3">
        <f>IF(DM5&lt;1,DM5,(DM5-1)*0.925+1)</f>
        <v>0.8</v>
      </c>
      <c r="DO5" s="3">
        <f>MIN($AF5+DO$25+DF10,1)</f>
        <v>0</v>
      </c>
      <c r="DP5" s="2">
        <f>IF(CX5="心灵",1,$B$4/($B$4+$C$4*(1-DO5)))</f>
        <v>0.497237569060773</v>
      </c>
      <c r="DQ5" s="2" cm="1">
        <f t="array" ref="DQ5">INDEX(动作!$I$3:$I$113,CR5)</f>
        <v>0</v>
      </c>
      <c r="DR5" s="6">
        <f ca="1">DH5*(1+DI5)*DL5*DN5*DP5*DI$28*(1+DP$25)</f>
        <v>0</v>
      </c>
      <c r="DS5" s="6">
        <f ca="1">DR5*CQ$8</f>
        <v>0</v>
      </c>
      <c r="DT5" s="2" cm="1">
        <f t="array" ref="DT5">INDEX(云配队!$J5:$AC5,1,DT$1)</f>
        <v>0</v>
      </c>
      <c r="DU5" s="2" cm="1">
        <f t="array" ref="DU5">IFERROR(MATCH(1,(动作!$A$3:$A$111=$D5)*EXACT(动作!$B$3:$B$111,DT5),0),1)</f>
        <v>1</v>
      </c>
      <c r="DV5" s="2">
        <f>$I5*(1+$J5+DV$25)+$K5+DW$25</f>
        <v>2914.275</v>
      </c>
      <c r="DW5" s="2">
        <f>$L5*(1+$M5+DX$25)+$N5+DY$25</f>
        <v>20350</v>
      </c>
      <c r="DX5" s="2">
        <f>$O5*(1+$P5+DZ$25)+$Q5+EA$25</f>
        <v>909</v>
      </c>
      <c r="DY5" s="2">
        <f>$U5+EB$25</f>
        <v>270</v>
      </c>
      <c r="DZ5" s="2" t="str" cm="1">
        <f t="array" ref="DZ5">INDEX(动作!$C$3:$C$113,DU5)</f>
        <v>无</v>
      </c>
      <c r="EA5" s="2" cm="1">
        <f t="array" ref="EA5">INDEX(动作!$D$3:$D$113,DU5)</f>
        <v>0</v>
      </c>
      <c r="EB5" s="2" cm="1">
        <f t="array" ref="EB5">INDEX(动作!$E$3:$E$113,DU5)*$AH5</f>
        <v>0</v>
      </c>
      <c r="EC5" s="2" cm="1">
        <f t="array" ref="EC5">INDEX(动作!$F$3:$F$113,DU5)*$AH5</f>
        <v>0</v>
      </c>
      <c r="ED5" s="2" cm="1">
        <f t="array" ref="ED5">INDEX(动作!$G$3:$G$113,DU5)*$AH5</f>
        <v>0</v>
      </c>
      <c r="EE5" s="2" cm="1">
        <f t="array" ref="EE5">INDEX(动作!$H$3:$H$113,DU5)</f>
        <v>0</v>
      </c>
      <c r="EF5" s="2" cm="1">
        <f t="array" ref="EF5">INDEX(动作!$L$3:$L$113,DU5)*(1+EC$25)*DT$8</f>
        <v>0</v>
      </c>
      <c r="EG5" s="2" cm="1">
        <f t="array" ref="EG5">INDEX(动作!$K$3:$K$113,DU5)*DT$8</f>
        <v>0</v>
      </c>
      <c r="EH5" s="2" cm="1">
        <f t="array" ref="EH5">INDEX(动作!$J$3:$J$113,DU5)*DT$8</f>
        <v>0</v>
      </c>
      <c r="EI5" s="2" cm="1">
        <f t="array" ref="EI5">INDEX(动作!$N$3:$N$113,DU5)*DT$8</f>
        <v>0</v>
      </c>
      <c r="EJ5" s="5">
        <f>(SUM(EH$4:EH$7)*(0.6+EE$25)+EH5*(0.4-EE$25))*(1+$T5+ED$25)+EI5</f>
        <v>0</v>
      </c>
      <c r="EK5" s="5">
        <f>DV5*EB5%+DW5*EC5%+DX5*ED5%+EE5</f>
        <v>0</v>
      </c>
      <c r="EL5" s="3">
        <f ca="1">IFERROR(OFFSET($X5,0,MATCH(DZ5,$Y$3:$AA$3,0)),0)+IF(EA5="心灵",$AB5,$X5)+IF(EA5="附着",$AC5,0)+IF(EA5="追击",$AD5,0)+EL$25+$W5+IF(DT$28,$AE$4,0)+EH10</f>
        <v>0.6</v>
      </c>
      <c r="EM5" s="3">
        <f>IF(EA5="DOT",50%,MIN($R5+EM$25+EF10,1))</f>
        <v>0.15</v>
      </c>
      <c r="EN5" s="3">
        <f>$S5+EN$25+EG10</f>
        <v>1</v>
      </c>
      <c r="EO5" s="5">
        <f>1+EM5*EN5</f>
        <v>1.15</v>
      </c>
      <c r="EP5" s="3">
        <f>1-$B$6+EP$25+IF($C$6=$F5,$C$8,0)+$AG5+EJ10</f>
        <v>0.8</v>
      </c>
      <c r="EQ5" s="3">
        <f>IF(EP5&lt;1,EP5,(EP5-1)*0.925+1)</f>
        <v>0.8</v>
      </c>
      <c r="ER5" s="3">
        <f>MIN($AF5+ER$25+EI10,1)</f>
        <v>0</v>
      </c>
      <c r="ES5" s="2">
        <f>IF(EA5="心灵",1,$B$4/($B$4+$C$4*(1-ER5)))</f>
        <v>0.497237569060773</v>
      </c>
      <c r="ET5" s="2" cm="1">
        <f t="array" ref="ET5">INDEX(动作!$I$3:$I$113,DU5)</f>
        <v>0</v>
      </c>
      <c r="EU5" s="6">
        <f ca="1">EK5*(1+EL5)*EO5*EQ5*ES5*EL$28*(1+ES$25)</f>
        <v>0</v>
      </c>
      <c r="EV5" s="6">
        <f ca="1">EU5*DT$8</f>
        <v>0</v>
      </c>
      <c r="EW5" s="2" cm="1">
        <f t="array" ref="EW5">INDEX(云配队!$J5:$AC5,1,EW$1)</f>
        <v>0</v>
      </c>
      <c r="EX5" s="2" cm="1">
        <f t="array" ref="EX5">IFERROR(MATCH(1,(动作!$A$3:$A$111=$D5)*EXACT(动作!$B$3:$B$111,EW5),0),1)</f>
        <v>1</v>
      </c>
      <c r="EY5" s="2">
        <f>$I5*(1+$J5+EY$25)+$K5+EZ$25</f>
        <v>2914.275</v>
      </c>
      <c r="EZ5" s="2">
        <f>$L5*(1+$M5+FA$25)+$N5+FB$25</f>
        <v>20350</v>
      </c>
      <c r="FA5" s="2">
        <f>$O5*(1+$P5+FC$25)+$Q5+FD$25</f>
        <v>909</v>
      </c>
      <c r="FB5" s="2">
        <f>$U5+FE$25</f>
        <v>270</v>
      </c>
      <c r="FC5" s="2" t="str" cm="1">
        <f t="array" ref="FC5">INDEX(动作!$C$3:$C$113,EX5)</f>
        <v>无</v>
      </c>
      <c r="FD5" s="2" cm="1">
        <f t="array" ref="FD5">INDEX(动作!$D$3:$D$113,EX5)</f>
        <v>0</v>
      </c>
      <c r="FE5" s="2" cm="1">
        <f t="array" ref="FE5">INDEX(动作!$E$3:$E$113,EX5)*$AH5</f>
        <v>0</v>
      </c>
      <c r="FF5" s="2" cm="1">
        <f t="array" ref="FF5">INDEX(动作!$F$3:$F$113,EX5)*$AH5</f>
        <v>0</v>
      </c>
      <c r="FG5" s="2" cm="1">
        <f t="array" ref="FG5">INDEX(动作!$G$3:$G$113,EX5)*$AH5</f>
        <v>0</v>
      </c>
      <c r="FH5" s="2" cm="1">
        <f t="array" ref="FH5">INDEX(动作!$H$3:$H$113,EX5)</f>
        <v>0</v>
      </c>
      <c r="FI5" s="2" cm="1">
        <f t="array" ref="FI5">INDEX(动作!$L$3:$L$113,EX5)*(1+FF$25)*EW$8</f>
        <v>0</v>
      </c>
      <c r="FJ5" s="2" cm="1">
        <f t="array" ref="FJ5">INDEX(动作!$K$3:$K$113,EX5)*EW$8</f>
        <v>0</v>
      </c>
      <c r="FK5" s="2" cm="1">
        <f t="array" ref="FK5">INDEX(动作!$J$3:$J$113,EX5)*EW$8</f>
        <v>0</v>
      </c>
      <c r="FL5" s="2" cm="1">
        <f t="array" ref="FL5">INDEX(动作!$N$3:$N$113,EX5)*EW$8</f>
        <v>0</v>
      </c>
      <c r="FM5" s="5">
        <f>(SUM(FK$4:FK$7)*(0.6+FH$25)+FK5*(0.4-FH$25))*(1+$T5+FG$25)+FL5</f>
        <v>26.492004</v>
      </c>
      <c r="FN5" s="5">
        <f>EY5*FE5%+EZ5*FF5%+FA5*FG5%+FH5</f>
        <v>0</v>
      </c>
      <c r="FO5" s="3">
        <f ca="1">IFERROR(OFFSET($X5,0,MATCH(FC5,$Y$3:$AA$3,0)),0)+IF(FD5="心灵",$AB5,$X5)+IF(FD5="附着",$AC5,0)+IF(FD5="追击",$AD5,0)+FO$25+$W5+IF(EW$28,$AE$4,0)+FK10</f>
        <v>0.6875</v>
      </c>
      <c r="FP5" s="3">
        <f>IF(FD5="DOT",50%,MIN($R5+FP$25+FI10,1))</f>
        <v>0.15</v>
      </c>
      <c r="FQ5" s="3">
        <f>$S5+FQ$25+FJ10</f>
        <v>1</v>
      </c>
      <c r="FR5" s="5">
        <f>1+FP5*FQ5</f>
        <v>1.15</v>
      </c>
      <c r="FS5" s="3">
        <f>1-$B$6+FS$25+IF($C$6=$F5,$C$8,0)+$AG5+FM10</f>
        <v>0.8</v>
      </c>
      <c r="FT5" s="3">
        <f>IF(FS5&lt;1,FS5,(FS5-1)*0.925+1)</f>
        <v>0.8</v>
      </c>
      <c r="FU5" s="3">
        <f>MIN($AF5+FU$25+FL10,1)</f>
        <v>0</v>
      </c>
      <c r="FV5" s="2">
        <f>IF(FD5="心灵",1,$B$4/($B$4+$C$4*(1-FU5)))</f>
        <v>0.497237569060773</v>
      </c>
      <c r="FW5" s="2" cm="1">
        <f t="array" ref="FW5">INDEX(动作!$I$3:$I$113,EX5)</f>
        <v>0</v>
      </c>
      <c r="FX5" s="6">
        <f ca="1">FN5*(1+FO5)*FR5*FT5*FV5*FO$28*(1+FV$25)</f>
        <v>0</v>
      </c>
      <c r="FY5" s="6">
        <f ca="1">FX5*EW$8</f>
        <v>0</v>
      </c>
      <c r="FZ5" s="2" cm="1">
        <f t="array" ref="FZ5">INDEX(云配队!$J5:$AC5,1,FZ$1)</f>
        <v>0</v>
      </c>
      <c r="GA5" s="2" cm="1">
        <f t="array" ref="GA5">IFERROR(MATCH(1,(动作!$A$3:$A$111=$D5)*EXACT(动作!$B$3:$B$111,FZ5),0),1)</f>
        <v>1</v>
      </c>
      <c r="GB5" s="2">
        <f>$I5*(1+$J5+GB$25)+$K5+GC$25</f>
        <v>2914.275</v>
      </c>
      <c r="GC5" s="2">
        <f>$L5*(1+$M5+GD$25)+$N5+GE$25</f>
        <v>20350</v>
      </c>
      <c r="GD5" s="2">
        <f>$O5*(1+$P5+GF$25)+$Q5+GG$25</f>
        <v>909</v>
      </c>
      <c r="GE5" s="2">
        <f>$U5+GH$25</f>
        <v>270</v>
      </c>
      <c r="GF5" s="2" t="str" cm="1">
        <f t="array" ref="GF5">INDEX(动作!$C$3:$C$113,GA5)</f>
        <v>无</v>
      </c>
      <c r="GG5" s="2" cm="1">
        <f t="array" ref="GG5">INDEX(动作!$D$3:$D$113,GA5)</f>
        <v>0</v>
      </c>
      <c r="GH5" s="2" cm="1">
        <f t="array" ref="GH5">INDEX(动作!$E$3:$E$113,GA5)*$AH5</f>
        <v>0</v>
      </c>
      <c r="GI5" s="2" cm="1">
        <f t="array" ref="GI5">INDEX(动作!$F$3:$F$113,GA5)*$AH5</f>
        <v>0</v>
      </c>
      <c r="GJ5" s="2" cm="1">
        <f t="array" ref="GJ5">INDEX(动作!$G$3:$G$113,GA5)*$AH5</f>
        <v>0</v>
      </c>
      <c r="GK5" s="2" cm="1">
        <f t="array" ref="GK5">INDEX(动作!$H$3:$H$113,GA5)</f>
        <v>0</v>
      </c>
      <c r="GL5" s="2" cm="1">
        <f t="array" ref="GL5">INDEX(动作!$L$3:$L$113,GA5)*(1+GI$25)*FZ$8</f>
        <v>0</v>
      </c>
      <c r="GM5" s="2" cm="1">
        <f t="array" ref="GM5">INDEX(动作!$K$3:$K$113,GA5)*FZ$8</f>
        <v>0</v>
      </c>
      <c r="GN5" s="2" cm="1">
        <f t="array" ref="GN5">INDEX(动作!$J$3:$J$113,GA5)*FZ$8</f>
        <v>0</v>
      </c>
      <c r="GO5" s="2" cm="1">
        <f t="array" ref="GO5">INDEX(动作!$N$3:$N$113,GA5)*FZ$8</f>
        <v>0</v>
      </c>
      <c r="GP5" s="5">
        <f>(SUM(GN$4:GN$7)*(0.6+GK$25)+GN5*(0.4-GK$25))*(1+$T5+GJ$25)+GO5</f>
        <v>0</v>
      </c>
      <c r="GQ5" s="5">
        <f>GB5*GH5%+GC5*GI5%+GD5*GJ5%+GK5</f>
        <v>0</v>
      </c>
      <c r="GR5" s="3">
        <f ca="1">IFERROR(OFFSET($X5,0,MATCH(GF5,$Y$3:$AA$3,0)),0)+IF(GG5="心灵",$AB5,$X5)+IF(GG5="附着",$AC5,0)+IF(GG5="追击",$AD5,0)+GR$25+$W5+IF(FZ$28,$AE$4,0)+GN10</f>
        <v>0.75</v>
      </c>
      <c r="GS5" s="3">
        <f>IF(GG5="DOT",50%,MIN($R5+GS$25+GL10,1))</f>
        <v>0.15</v>
      </c>
      <c r="GT5" s="3">
        <f>$S5+GT$25+GM10</f>
        <v>1</v>
      </c>
      <c r="GU5" s="5">
        <f>1+GS5*GT5</f>
        <v>1.15</v>
      </c>
      <c r="GV5" s="3">
        <f>1-$B$6+GV$25+IF($C$6=$F5,$C$8,0)+$AG5+GP10</f>
        <v>0.8</v>
      </c>
      <c r="GW5" s="3">
        <f>IF(GV5&lt;1,GV5,(GV5-1)*0.925+1)</f>
        <v>0.8</v>
      </c>
      <c r="GX5" s="3">
        <f>MIN($AF5+GX$25+GO10,1)</f>
        <v>0</v>
      </c>
      <c r="GY5" s="2">
        <f>IF(GG5="心灵",1,$B$4/($B$4+$C$4*(1-GX5)))</f>
        <v>0.497237569060773</v>
      </c>
      <c r="GZ5" s="2" cm="1">
        <f t="array" ref="GZ5">INDEX(动作!$I$3:$I$113,GA5)</f>
        <v>0</v>
      </c>
      <c r="HA5" s="6">
        <f ca="1">GQ5*(1+GR5)*GU5*GW5*GY5*GR$28*(1+GY$25)</f>
        <v>0</v>
      </c>
      <c r="HB5" s="6">
        <f ca="1">HA5*FZ$8</f>
        <v>0</v>
      </c>
      <c r="HC5" s="2" cm="1">
        <f t="array" ref="HC5">INDEX(云配队!$J5:$AC5,1,HC$1)</f>
        <v>0</v>
      </c>
      <c r="HD5" s="2" cm="1">
        <f t="array" ref="HD5">IFERROR(MATCH(1,(动作!$A$3:$A$111=$D5)*EXACT(动作!$B$3:$B$111,HC5),0),1)</f>
        <v>1</v>
      </c>
      <c r="HE5" s="2">
        <f>$I5*(1+$J5+HE$25)+$K5+HF$25</f>
        <v>2914.275</v>
      </c>
      <c r="HF5" s="2">
        <f>$L5*(1+$M5+HG$25)+$N5+HH$25</f>
        <v>20350</v>
      </c>
      <c r="HG5" s="2">
        <f>$O5*(1+$P5+HI$25)+$Q5+HJ$25</f>
        <v>909</v>
      </c>
      <c r="HH5" s="2">
        <f>$U5+HK$25</f>
        <v>270</v>
      </c>
      <c r="HI5" s="2" t="str" cm="1">
        <f t="array" ref="HI5">INDEX(动作!$C$3:$C$113,HD5)</f>
        <v>无</v>
      </c>
      <c r="HJ5" s="2" cm="1">
        <f t="array" ref="HJ5">INDEX(动作!$D$3:$D$113,HD5)</f>
        <v>0</v>
      </c>
      <c r="HK5" s="2" cm="1">
        <f t="array" ref="HK5">INDEX(动作!$E$3:$E$113,HD5)*$AH5</f>
        <v>0</v>
      </c>
      <c r="HL5" s="2" cm="1">
        <f t="array" ref="HL5">INDEX(动作!$F$3:$F$113,HD5)*$AH5</f>
        <v>0</v>
      </c>
      <c r="HM5" s="2" cm="1">
        <f t="array" ref="HM5">INDEX(动作!$G$3:$G$113,HD5)*$AH5</f>
        <v>0</v>
      </c>
      <c r="HN5" s="2" cm="1">
        <f t="array" ref="HN5">INDEX(动作!$H$3:$H$113,HD5)</f>
        <v>0</v>
      </c>
      <c r="HO5" s="2" cm="1">
        <f t="array" ref="HO5">INDEX(动作!$L$3:$L$113,HD5)*(1+HL$25)*HC$8</f>
        <v>0</v>
      </c>
      <c r="HP5" s="2" cm="1">
        <f t="array" ref="HP5">INDEX(动作!$K$3:$K$113,HD5)*HC$8</f>
        <v>0</v>
      </c>
      <c r="HQ5" s="2" cm="1">
        <f t="array" ref="HQ5">INDEX(动作!$J$3:$J$113,HD5)*HC$8</f>
        <v>0</v>
      </c>
      <c r="HR5" s="2" cm="1">
        <f t="array" ref="HR5">INDEX(动作!$N$3:$N$113,HD5)*HC$8</f>
        <v>0</v>
      </c>
      <c r="HS5" s="5">
        <f>(SUM(HQ$4:HQ$7)*(0.6+HN$25)+HQ5*(0.4-HN$25))*(1+$T5+HM$25)+HR5</f>
        <v>10.0548</v>
      </c>
      <c r="HT5" s="5">
        <f>HE5*HK5%+HF5*HL5%+HG5*HM5%+HN5</f>
        <v>0</v>
      </c>
      <c r="HU5" s="3">
        <f ca="1">IFERROR(OFFSET($X5,0,MATCH(HI5,$Y$3:$AA$3,0)),0)+IF(HJ5="心灵",$AB5,$X5)+IF(HJ5="附着",$AC5,0)+IF(HJ5="追击",$AD5,0)+HU$25+$W5+IF(HC$28,$AE$4,0)+HQ10</f>
        <v>0.575</v>
      </c>
      <c r="HV5" s="3">
        <f>IF(HJ5="DOT",50%,MIN($R5+HV$25+HO10,1))</f>
        <v>0.15</v>
      </c>
      <c r="HW5" s="3">
        <f>$S5+HW$25+HP10</f>
        <v>1</v>
      </c>
      <c r="HX5" s="5">
        <f>1+HV5*HW5</f>
        <v>1.15</v>
      </c>
      <c r="HY5" s="3">
        <f>1-$B$6+HY$25+IF($C$6=$F5,$C$8,0)+$AG5+HS10</f>
        <v>0.8</v>
      </c>
      <c r="HZ5" s="3">
        <f>IF(HY5&lt;1,HY5,(HY5-1)*0.925+1)</f>
        <v>0.8</v>
      </c>
      <c r="IA5" s="3">
        <f>MIN($AF5+IA$25+HR10,1)</f>
        <v>0</v>
      </c>
      <c r="IB5" s="2">
        <f>IF(HJ5="心灵",1,$B$4/($B$4+$C$4*(1-IA5)))</f>
        <v>0.497237569060773</v>
      </c>
      <c r="IC5" s="2" cm="1">
        <f t="array" ref="IC5">INDEX(动作!$I$3:$I$113,HD5)</f>
        <v>0</v>
      </c>
      <c r="ID5" s="6">
        <f ca="1">HT5*(1+HU5)*HX5*HZ5*IB5*HU$28*(1+IB$25)</f>
        <v>0</v>
      </c>
      <c r="IE5" s="6">
        <f ca="1">ID5*HC$8</f>
        <v>0</v>
      </c>
      <c r="IF5" s="2" cm="1">
        <f t="array" ref="IF5">INDEX(云配队!$J5:$AC5,1,IF$1)</f>
        <v>0</v>
      </c>
      <c r="IG5" s="2" cm="1">
        <f t="array" ref="IG5">IFERROR(MATCH(1,(动作!$A$3:$A$111=$D5)*EXACT(动作!$B$3:$B$111,IF5),0),1)</f>
        <v>1</v>
      </c>
      <c r="IH5" s="2">
        <f>$I5*(1+$J5+IH$25)+$K5+II$25</f>
        <v>2914.275</v>
      </c>
      <c r="II5" s="2">
        <f>$L5*(1+$M5+IJ$25)+$N5+IK$25</f>
        <v>20350</v>
      </c>
      <c r="IJ5" s="2">
        <f>$O5*(1+$P5+IL$25)+$Q5+IM$25</f>
        <v>909</v>
      </c>
      <c r="IK5" s="2">
        <f>$U5+IN$25</f>
        <v>270</v>
      </c>
      <c r="IL5" s="2" t="str" cm="1">
        <f t="array" ref="IL5">INDEX(动作!$C$3:$C$113,IG5)</f>
        <v>无</v>
      </c>
      <c r="IM5" s="2" cm="1">
        <f t="array" ref="IM5">INDEX(动作!$D$3:$D$113,IG5)</f>
        <v>0</v>
      </c>
      <c r="IN5" s="2" cm="1">
        <f t="array" ref="IN5">INDEX(动作!$E$3:$E$113,IG5)*$AH5</f>
        <v>0</v>
      </c>
      <c r="IO5" s="2" cm="1">
        <f t="array" ref="IO5">INDEX(动作!$F$3:$F$113,IG5)*$AH5</f>
        <v>0</v>
      </c>
      <c r="IP5" s="2" cm="1">
        <f t="array" ref="IP5">INDEX(动作!$G$3:$G$113,IG5)*$AH5</f>
        <v>0</v>
      </c>
      <c r="IQ5" s="2" cm="1">
        <f t="array" ref="IQ5">INDEX(动作!$H$3:$H$113,IG5)</f>
        <v>0</v>
      </c>
      <c r="IR5" s="2" cm="1">
        <f t="array" ref="IR5">INDEX(动作!$L$3:$L$113,IG5)*(1+IO$25)*IF$8</f>
        <v>0</v>
      </c>
      <c r="IS5" s="2" cm="1">
        <f t="array" ref="IS5">INDEX(动作!$K$3:$K$113,IG5)*IF$8</f>
        <v>0</v>
      </c>
      <c r="IT5" s="2" cm="1">
        <f t="array" ref="IT5">INDEX(动作!$J$3:$J$113,IG5)*IF$8</f>
        <v>0</v>
      </c>
      <c r="IU5" s="2" cm="1">
        <f t="array" ref="IU5">INDEX(动作!$N$3:$N$113,IG5)*IF$8</f>
        <v>0</v>
      </c>
      <c r="IV5" s="5">
        <f>(SUM(IT$4:IT$7)*(0.6+IQ$25)+IT5*(0.4-IQ$25))*(1+$T5+IP$25)+IU5</f>
        <v>0</v>
      </c>
      <c r="IW5" s="5">
        <f>IH5*IN5%+II5*IO5%+IJ5*IP5%+IQ5</f>
        <v>0</v>
      </c>
      <c r="IX5" s="3">
        <f ca="1">IFERROR(OFFSET($X5,0,MATCH(IL5,$Y$3:$AA$3,0)),0)+IF(IM5="心灵",$AB5,$X5)+IF(IM5="附着",$AC5,0)+IF(IM5="追击",$AD5,0)+IX$25+$W5+IF(IF$28,$AE$4,0)+IT10</f>
        <v>0.75</v>
      </c>
      <c r="IY5" s="3">
        <f>IF(IM5="DOT",50%,MIN($R5+IY$25+IR10,1))</f>
        <v>0.15</v>
      </c>
      <c r="IZ5" s="3">
        <f>$S5+IZ$25+IS10</f>
        <v>1</v>
      </c>
      <c r="JA5" s="5">
        <f>1+IY5*IZ5</f>
        <v>1.15</v>
      </c>
      <c r="JB5" s="3">
        <f>1-$B$6+JB$25+IF($C$6=$F5,$C$8,0)+$AG5+IV10</f>
        <v>0.8</v>
      </c>
      <c r="JC5" s="3">
        <f>IF(JB5&lt;1,JB5,(JB5-1)*0.925+1)</f>
        <v>0.8</v>
      </c>
      <c r="JD5" s="3">
        <f>MIN($AF5+JD$25+IU10,1)</f>
        <v>0</v>
      </c>
      <c r="JE5" s="2">
        <f>IF(IM5="心灵",1,$B$4/($B$4+$C$4*(1-JD5)))</f>
        <v>0.497237569060773</v>
      </c>
      <c r="JF5" s="2" cm="1">
        <f t="array" ref="JF5">INDEX(动作!$I$3:$I$113,IG5)</f>
        <v>0</v>
      </c>
      <c r="JG5" s="6">
        <f ca="1">IW5*(1+IX5)*JA5*JC5*JE5*IX$28*(1+JE$25)</f>
        <v>0</v>
      </c>
      <c r="JH5" s="6">
        <f ca="1">JG5*IF$8</f>
        <v>0</v>
      </c>
      <c r="JI5" s="2" cm="1">
        <f t="array" ref="JI5">INDEX(云配队!$J5:$AC5,1,JI$1)</f>
        <v>0</v>
      </c>
      <c r="JJ5" s="2" cm="1">
        <f t="array" ref="JJ5">IFERROR(MATCH(1,(动作!$A$3:$A$111=$D5)*EXACT(动作!$B$3:$B$111,JI5),0),1)</f>
        <v>1</v>
      </c>
      <c r="JK5" s="2">
        <f>$I5*(1+$J5+JK$25)+$K5+JL$25</f>
        <v>2914.275</v>
      </c>
      <c r="JL5" s="2">
        <f>$L5*(1+$M5+JM$25)+$N5+JN$25</f>
        <v>20350</v>
      </c>
      <c r="JM5" s="2">
        <f>$O5*(1+$P5+JO$25)+$Q5+JP$25</f>
        <v>909</v>
      </c>
      <c r="JN5" s="2">
        <f>$U5+JQ$25</f>
        <v>270</v>
      </c>
      <c r="JO5" s="2" t="str" cm="1">
        <f t="array" ref="JO5">INDEX(动作!$C$3:$C$113,JJ5)</f>
        <v>无</v>
      </c>
      <c r="JP5" s="2" cm="1">
        <f t="array" ref="JP5">INDEX(动作!$D$3:$D$113,JJ5)</f>
        <v>0</v>
      </c>
      <c r="JQ5" s="2" cm="1">
        <f t="array" ref="JQ5">INDEX(动作!$E$3:$E$113,JJ5)*$AH5</f>
        <v>0</v>
      </c>
      <c r="JR5" s="2" cm="1">
        <f t="array" ref="JR5">INDEX(动作!$F$3:$F$113,JJ5)*$AH5</f>
        <v>0</v>
      </c>
      <c r="JS5" s="2" cm="1">
        <f t="array" ref="JS5">INDEX(动作!$G$3:$G$113,JJ5)*$AH5</f>
        <v>0</v>
      </c>
      <c r="JT5" s="2" cm="1">
        <f t="array" ref="JT5">INDEX(动作!$H$3:$H$113,JJ5)</f>
        <v>0</v>
      </c>
      <c r="JU5" s="2" cm="1">
        <f t="array" ref="JU5">INDEX(动作!$L$3:$L$113,JJ5)*(1+JR$25)*JI$8</f>
        <v>0</v>
      </c>
      <c r="JV5" s="2" cm="1">
        <f t="array" ref="JV5">INDEX(动作!$K$3:$K$113,JJ5)*JI$8</f>
        <v>0</v>
      </c>
      <c r="JW5" s="2" cm="1">
        <f t="array" ref="JW5">INDEX(动作!$J$3:$J$113,JJ5)*JI$8</f>
        <v>0</v>
      </c>
      <c r="JX5" s="2" cm="1">
        <f t="array" ref="JX5">INDEX(动作!$N$3:$N$113,JJ5)*JI$8</f>
        <v>0</v>
      </c>
      <c r="JY5" s="5">
        <f>(SUM(JW$4:JW$7)*(0.6+JT$25)+JW5*(0.4-JT$25))*(1+$T5+JS$25)+JX5</f>
        <v>0</v>
      </c>
      <c r="JZ5" s="5">
        <f>JK5*JQ5%+JL5*JR5%+JM5*JS5%+JT5</f>
        <v>0</v>
      </c>
      <c r="KA5" s="3">
        <f ca="1">IFERROR(OFFSET($X5,0,MATCH(JO5,$Y$3:$AA$3,0)),0)+IF(JP5="心灵",$AB5,$X5)+IF(JP5="附着",$AC5,0)+IF(JP5="追击",$AD5,0)+KA$25+$W5+IF(JI$28,$AE$4,0)+JW10</f>
        <v>0.5</v>
      </c>
      <c r="KB5" s="3">
        <f>IF(JP5="DOT",50%,MIN($R5+KB$25+JU10,1))</f>
        <v>0.15</v>
      </c>
      <c r="KC5" s="3">
        <f>$S5+KC$25+JV10</f>
        <v>0.7</v>
      </c>
      <c r="KD5" s="5">
        <f>1+KB5*KC5</f>
        <v>1.105</v>
      </c>
      <c r="KE5" s="3">
        <f>1-$B$6+KE$25+IF($C$6=$F5,$C$8,0)+$AG5+JY10</f>
        <v>0.8</v>
      </c>
      <c r="KF5" s="3">
        <f>IF(KE5&lt;1,KE5,(KE5-1)*0.925+1)</f>
        <v>0.8</v>
      </c>
      <c r="KG5" s="3">
        <f>MIN($AF5+KG$25+JX10,1)</f>
        <v>0</v>
      </c>
      <c r="KH5" s="2">
        <f>IF(JP5="心灵",1,$B$4/($B$4+$C$4*(1-KG5)))</f>
        <v>0.497237569060773</v>
      </c>
      <c r="KI5" s="2" cm="1">
        <f t="array" ref="KI5">INDEX(动作!$I$3:$I$113,JJ5)</f>
        <v>0</v>
      </c>
      <c r="KJ5" s="6">
        <f ca="1">JZ5*(1+KA5)*KD5*KF5*KH5*KA$28*(1+KH$25)</f>
        <v>0</v>
      </c>
      <c r="KK5" s="6">
        <f ca="1">KJ5*JI$8</f>
        <v>0</v>
      </c>
      <c r="KL5" s="2" cm="1">
        <f t="array" ref="KL5">INDEX(云配队!$J5:$AC5,1,KL$1)</f>
        <v>0</v>
      </c>
      <c r="KM5" s="2" cm="1">
        <f t="array" ref="KM5">IFERROR(MATCH(1,(动作!$A$3:$A$111=$D5)*EXACT(动作!$B$3:$B$111,KL5),0),1)</f>
        <v>1</v>
      </c>
      <c r="KN5" s="2">
        <f>$I5*(1+$J5+KN$25)+$K5+KO$25</f>
        <v>2914.275</v>
      </c>
      <c r="KO5" s="2">
        <f>$L5*(1+$M5+KP$25)+$N5+KQ$25</f>
        <v>20350</v>
      </c>
      <c r="KP5" s="2">
        <f>$O5*(1+$P5+KR$25)+$Q5+KS$25</f>
        <v>909</v>
      </c>
      <c r="KQ5" s="2">
        <f>$U5+KT$25</f>
        <v>270</v>
      </c>
      <c r="KR5" s="2" t="str" cm="1">
        <f t="array" ref="KR5">INDEX(动作!$C$3:$C$113,KM5)</f>
        <v>无</v>
      </c>
      <c r="KS5" s="2" cm="1">
        <f t="array" ref="KS5">INDEX(动作!$D$3:$D$113,KM5)</f>
        <v>0</v>
      </c>
      <c r="KT5" s="2" cm="1">
        <f t="array" ref="KT5">INDEX(动作!$E$3:$E$113,KM5)*$AH5</f>
        <v>0</v>
      </c>
      <c r="KU5" s="2" cm="1">
        <f t="array" ref="KU5">INDEX(动作!$F$3:$F$113,KM5)*$AH5</f>
        <v>0</v>
      </c>
      <c r="KV5" s="2" cm="1">
        <f t="array" ref="KV5">INDEX(动作!$G$3:$G$113,KM5)*$AH5</f>
        <v>0</v>
      </c>
      <c r="KW5" s="2" cm="1">
        <f t="array" ref="KW5">INDEX(动作!$H$3:$H$113,KM5)</f>
        <v>0</v>
      </c>
      <c r="KX5" s="2" cm="1">
        <f t="array" ref="KX5">INDEX(动作!$L$3:$L$113,KM5)*(1+KU$25)*KL$8</f>
        <v>0</v>
      </c>
      <c r="KY5" s="2" cm="1">
        <f t="array" ref="KY5">INDEX(动作!$K$3:$K$113,KM5)*KL$8</f>
        <v>0</v>
      </c>
      <c r="KZ5" s="2" cm="1">
        <f t="array" ref="KZ5">INDEX(动作!$J$3:$J$113,KM5)*KL$8</f>
        <v>0</v>
      </c>
      <c r="LA5" s="2" cm="1">
        <f t="array" ref="LA5">INDEX(动作!$N$3:$N$113,KM5)*KL$8</f>
        <v>0</v>
      </c>
      <c r="LB5" s="5">
        <f>(SUM(KZ$4:KZ$7)*(0.6+KW$25)+KZ5*(0.4-KW$25))*(1+$T5+KV$25)+LA5</f>
        <v>0</v>
      </c>
      <c r="LC5" s="5">
        <f>KN5*KT5%+KO5*KU5%+KP5*KV5%+KW5</f>
        <v>0</v>
      </c>
      <c r="LD5" s="3">
        <f ca="1">IFERROR(OFFSET($X5,0,MATCH(KR5,$Y$3:$AA$3,0)),0)+IF(KS5="心灵",$AB5,$X5)+IF(KS5="附着",$AC5,0)+IF(KS5="追击",$AD5,0)+LD$25+$W5+IF(KL$28,$AE$4,0)+KZ10</f>
        <v>1.2</v>
      </c>
      <c r="LE5" s="3">
        <f>IF(KS5="DOT",50%,MIN($R5+LE$25+KX10,1))</f>
        <v>0.15</v>
      </c>
      <c r="LF5" s="3">
        <f>$S5+LF$25+KY10</f>
        <v>0.7</v>
      </c>
      <c r="LG5" s="5">
        <f>1+LE5*LF5</f>
        <v>1.105</v>
      </c>
      <c r="LH5" s="3">
        <f>1-$B$6+LH$25+IF($C$6=$F5,$C$8,0)+$AG5+LB10</f>
        <v>0.8</v>
      </c>
      <c r="LI5" s="3">
        <f>IF(LH5&lt;1,LH5,(LH5-1)*0.925+1)</f>
        <v>0.8</v>
      </c>
      <c r="LJ5" s="3">
        <f>MIN($AF5+LJ$25+LA10,1)</f>
        <v>0</v>
      </c>
      <c r="LK5" s="2">
        <f>IF(KS5="心灵",1,$B$4/($B$4+$C$4*(1-LJ5)))</f>
        <v>0.497237569060773</v>
      </c>
      <c r="LL5" s="2" cm="1">
        <f t="array" ref="LL5">INDEX(动作!$I$3:$I$113,KM5)</f>
        <v>0</v>
      </c>
      <c r="LM5" s="6">
        <f ca="1">LC5*(1+LD5)*LG5*LI5*LK5*LD$28*(1+LK$25)</f>
        <v>0</v>
      </c>
      <c r="LN5" s="6">
        <f ca="1">LM5*KL$8</f>
        <v>0</v>
      </c>
      <c r="LO5" s="2" cm="1">
        <f t="array" ref="LO5">INDEX(云配队!$J5:$AC5,1,LO$1)</f>
        <v>0</v>
      </c>
      <c r="LP5" s="2" cm="1">
        <f t="array" ref="LP5">IFERROR(MATCH(1,(动作!$A$3:$A$111=$D5)*EXACT(动作!$B$3:$B$111,LO5),0),1)</f>
        <v>1</v>
      </c>
      <c r="LQ5" s="2">
        <f>$I5*(1+$J5+LQ$25)+$K5+LR$25</f>
        <v>2914.275</v>
      </c>
      <c r="LR5" s="2">
        <f>$L5*(1+$M5+LS$25)+$N5+LT$25</f>
        <v>20350</v>
      </c>
      <c r="LS5" s="2">
        <f>$O5*(1+$P5+LU$25)+$Q5+LV$25</f>
        <v>909</v>
      </c>
      <c r="LT5" s="2">
        <f>$U5+LW$25</f>
        <v>270</v>
      </c>
      <c r="LU5" s="2" t="str" cm="1">
        <f t="array" ref="LU5">INDEX(动作!$C$3:$C$113,LP5)</f>
        <v>无</v>
      </c>
      <c r="LV5" s="2" cm="1">
        <f t="array" ref="LV5">INDEX(动作!$D$3:$D$113,LP5)</f>
        <v>0</v>
      </c>
      <c r="LW5" s="2" cm="1">
        <f t="array" ref="LW5">INDEX(动作!$E$3:$E$113,LP5)*$AH5</f>
        <v>0</v>
      </c>
      <c r="LX5" s="2" cm="1">
        <f t="array" ref="LX5">INDEX(动作!$F$3:$F$113,LP5)*$AH5</f>
        <v>0</v>
      </c>
      <c r="LY5" s="2" cm="1">
        <f t="array" ref="LY5">INDEX(动作!$G$3:$G$113,LP5)*$AH5</f>
        <v>0</v>
      </c>
      <c r="LZ5" s="2" cm="1">
        <f t="array" ref="LZ5">INDEX(动作!$H$3:$H$113,LP5)</f>
        <v>0</v>
      </c>
      <c r="MA5" s="2" cm="1">
        <f t="array" ref="MA5">INDEX(动作!$L$3:$L$113,LP5)*(1+LX$25)*LO$8</f>
        <v>0</v>
      </c>
      <c r="MB5" s="2" cm="1">
        <f t="array" ref="MB5">INDEX(动作!$K$3:$K$113,LP5)*LO$8</f>
        <v>0</v>
      </c>
      <c r="MC5" s="2" cm="1">
        <f t="array" ref="MC5">INDEX(动作!$J$3:$J$113,LP5)*LO$8</f>
        <v>0</v>
      </c>
      <c r="MD5" s="2" cm="1">
        <f t="array" ref="MD5">INDEX(动作!$N$3:$N$113,LP5)*LO$8</f>
        <v>0</v>
      </c>
      <c r="ME5" s="5">
        <f>(SUM(MC$4:MC$7)*(0.6+LZ$25)+MC5*(0.4-LZ$25))*(1+$T5+LY$25)+MD5</f>
        <v>9.576</v>
      </c>
      <c r="MF5" s="5">
        <f>LQ5*LW5%+LR5*LX5%+LS5*LY5%+LZ5</f>
        <v>0</v>
      </c>
      <c r="MG5" s="3">
        <f ca="1">IFERROR(OFFSET($X5,0,MATCH(LU5,$Y$3:$AA$3,0)),0)+IF(LV5="心灵",$AB5,$X5)+IF(LV5="附着",$AC5,0)+IF(LV5="追击",$AD5,0)+MG$25+$W5+IF(LO$28,$AE$4,0)+MC10</f>
        <v>0.85</v>
      </c>
      <c r="MH5" s="3">
        <f>IF(LV5="DOT",50%,MIN($R5+MH$25+MA10,1))</f>
        <v>0.15</v>
      </c>
      <c r="MI5" s="3">
        <f>$S5+MI$25+MB10</f>
        <v>0.7</v>
      </c>
      <c r="MJ5" s="5">
        <f>1+MH5*MI5</f>
        <v>1.105</v>
      </c>
      <c r="MK5" s="3">
        <f>1-$B$6+MK$25+IF($C$6=$F5,$C$8,0)+$AG5+ME10</f>
        <v>0.8</v>
      </c>
      <c r="ML5" s="3">
        <f>IF(MK5&lt;1,MK5,(MK5-1)*0.925+1)</f>
        <v>0.8</v>
      </c>
      <c r="MM5" s="3">
        <f>MIN($AF5+MM$25+MD10,1)</f>
        <v>0</v>
      </c>
      <c r="MN5" s="2">
        <f>IF(LV5="心灵",1,$B$4/($B$4+$C$4*(1-MM5)))</f>
        <v>0.497237569060773</v>
      </c>
      <c r="MO5" s="2" cm="1">
        <f t="array" ref="MO5">INDEX(动作!$I$3:$I$113,LP5)</f>
        <v>0</v>
      </c>
      <c r="MP5" s="6">
        <f ca="1">MF5*(1+MG5)*MJ5*ML5*MN5*MG$28*(1+MN$25)</f>
        <v>0</v>
      </c>
      <c r="MQ5" s="6">
        <f ca="1">MP5*LO$8</f>
        <v>0</v>
      </c>
      <c r="MR5" s="2" cm="1">
        <f t="array" ref="MR5">INDEX(云配队!$J5:$AC5,1,MR$1)</f>
        <v>0</v>
      </c>
      <c r="MS5" s="2" cm="1">
        <f t="array" ref="MS5">IFERROR(MATCH(1,(动作!$A$3:$A$111=$D5)*EXACT(动作!$B$3:$B$111,MR5),0),1)</f>
        <v>1</v>
      </c>
      <c r="MT5" s="2">
        <f>$I5*(1+$J5+MT$25)+$K5+MU$25</f>
        <v>2914.275</v>
      </c>
      <c r="MU5" s="2">
        <f>$L5*(1+$M5+MV$25)+$N5+MW$25</f>
        <v>20350</v>
      </c>
      <c r="MV5" s="2">
        <f>$O5*(1+$P5+MX$25)+$Q5+MY$25</f>
        <v>909</v>
      </c>
      <c r="MW5" s="2">
        <f>$U5+MZ$25</f>
        <v>270</v>
      </c>
      <c r="MX5" s="2" t="str" cm="1">
        <f t="array" ref="MX5">INDEX(动作!$C$3:$C$113,MS5)</f>
        <v>无</v>
      </c>
      <c r="MY5" s="2" cm="1">
        <f t="array" ref="MY5">INDEX(动作!$D$3:$D$113,MS5)</f>
        <v>0</v>
      </c>
      <c r="MZ5" s="2" cm="1">
        <f t="array" ref="MZ5">INDEX(动作!$E$3:$E$113,MS5)*$AH5</f>
        <v>0</v>
      </c>
      <c r="NA5" s="2" cm="1">
        <f t="array" ref="NA5">INDEX(动作!$F$3:$F$113,MS5)*$AH5</f>
        <v>0</v>
      </c>
      <c r="NB5" s="2" cm="1">
        <f t="array" ref="NB5">INDEX(动作!$G$3:$G$113,MS5)*$AH5</f>
        <v>0</v>
      </c>
      <c r="NC5" s="2" cm="1">
        <f t="array" ref="NC5">INDEX(动作!$H$3:$H$113,MS5)</f>
        <v>0</v>
      </c>
      <c r="ND5" s="2" cm="1">
        <f t="array" ref="ND5">INDEX(动作!$L$3:$L$113,MS5)*(1+NA$25)*MR$8</f>
        <v>0</v>
      </c>
      <c r="NE5" s="2" cm="1">
        <f t="array" ref="NE5">INDEX(动作!$K$3:$K$113,MS5)*MR$8</f>
        <v>0</v>
      </c>
      <c r="NF5" s="2" cm="1">
        <f t="array" ref="NF5">INDEX(动作!$J$3:$J$113,MS5)*MR$8</f>
        <v>0</v>
      </c>
      <c r="NG5" s="2" cm="1">
        <f t="array" ref="NG5">INDEX(动作!$N$3:$N$113,MS5)*MR$8</f>
        <v>0</v>
      </c>
      <c r="NH5" s="5">
        <f>(SUM(NF$4:NF$7)*(0.6+NC$25)+NF5*(0.4-NC$25))*(1+$T5+NB$25)+NG5</f>
        <v>0</v>
      </c>
      <c r="NI5" s="5">
        <f>MT5*MZ5%+MU5*NA5%+MV5*NB5%+NC5</f>
        <v>0</v>
      </c>
      <c r="NJ5" s="3">
        <f ca="1">IFERROR(OFFSET($X5,0,MATCH(MX5,$Y$3:$AA$3,0)),0)+IF(MY5="心灵",$AB5,$X5)+IF(MY5="附着",$AC5,0)+IF(MY5="追击",$AD5,0)+NJ$25+$W5+IF(MR$28,$AE$4,0)+NF10</f>
        <v>0.5</v>
      </c>
      <c r="NK5" s="3">
        <f>IF(MY5="DOT",50%,MIN($R5+NK$25+ND10,1))</f>
        <v>0.15</v>
      </c>
      <c r="NL5" s="3">
        <f>$S5+NL$25+NE10</f>
        <v>0.7</v>
      </c>
      <c r="NM5" s="5">
        <f>1+NK5*NL5</f>
        <v>1.105</v>
      </c>
      <c r="NN5" s="3">
        <f>1-$B$6+NN$25+IF($C$6=$F5,$C$8,0)+$AG5+NH10</f>
        <v>0.8</v>
      </c>
      <c r="NO5" s="3">
        <f>IF(NN5&lt;1,NN5,(NN5-1)*0.925+1)</f>
        <v>0.8</v>
      </c>
      <c r="NP5" s="3">
        <f>MIN($AF5+NP$25+NG10,1)</f>
        <v>0</v>
      </c>
      <c r="NQ5" s="2">
        <f>IF(MY5="心灵",1,$B$4/($B$4+$C$4*(1-NP5)))</f>
        <v>0.497237569060773</v>
      </c>
      <c r="NR5" s="2" cm="1">
        <f t="array" ref="NR5">INDEX(动作!$I$3:$I$113,MS5)</f>
        <v>0</v>
      </c>
      <c r="NS5" s="6">
        <f ca="1">NI5*(1+NJ5)*NM5*NO5*NQ5*NJ$28*(1+NQ$25)</f>
        <v>0</v>
      </c>
      <c r="NT5" s="6">
        <f ca="1">NS5*MR$8</f>
        <v>0</v>
      </c>
      <c r="NU5" s="2" cm="1">
        <f t="array" ref="NU5">INDEX(云配队!$J5:$AC5,1,NU$1)</f>
        <v>0</v>
      </c>
      <c r="NV5" s="2" cm="1">
        <f t="array" ref="NV5">IFERROR(MATCH(1,(动作!$A$3:$A$111=$D5)*EXACT(动作!$B$3:$B$111,NU5),0),1)</f>
        <v>1</v>
      </c>
      <c r="NW5" s="2">
        <f>$I5*(1+$J5+NW$25)+$K5+NX$25</f>
        <v>2914.275</v>
      </c>
      <c r="NX5" s="2">
        <f>$L5*(1+$M5+NY$25)+$N5+NZ$25</f>
        <v>20350</v>
      </c>
      <c r="NY5" s="2">
        <f>$O5*(1+$P5+OA$25)+$Q5+OB$25</f>
        <v>909</v>
      </c>
      <c r="NZ5" s="2">
        <f>$U5+OC$25</f>
        <v>270</v>
      </c>
      <c r="OA5" s="2" t="str" cm="1">
        <f t="array" ref="OA5">INDEX(动作!$C$3:$C$113,NV5)</f>
        <v>无</v>
      </c>
      <c r="OB5" s="2" cm="1">
        <f t="array" ref="OB5">INDEX(动作!$D$3:$D$113,NV5)</f>
        <v>0</v>
      </c>
      <c r="OC5" s="2" cm="1">
        <f t="array" ref="OC5">INDEX(动作!$E$3:$E$113,NV5)*$AH5</f>
        <v>0</v>
      </c>
      <c r="OD5" s="2" cm="1">
        <f t="array" ref="OD5">INDEX(动作!$F$3:$F$113,NV5)*$AH5</f>
        <v>0</v>
      </c>
      <c r="OE5" s="2" cm="1">
        <f t="array" ref="OE5">INDEX(动作!$G$3:$G$113,NV5)*$AH5</f>
        <v>0</v>
      </c>
      <c r="OF5" s="2" cm="1">
        <f t="array" ref="OF5">INDEX(动作!$H$3:$H$113,NV5)</f>
        <v>0</v>
      </c>
      <c r="OG5" s="2" cm="1">
        <f t="array" ref="OG5">INDEX(动作!$L$3:$L$113,NV5)*(1+OD$25)*NU$8</f>
        <v>0</v>
      </c>
      <c r="OH5" s="2" cm="1">
        <f t="array" ref="OH5">INDEX(动作!$K$3:$K$113,NV5)*NU$8</f>
        <v>0</v>
      </c>
      <c r="OI5" s="2" cm="1">
        <f t="array" ref="OI5">INDEX(动作!$J$3:$J$113,NV5)*NU$8</f>
        <v>0</v>
      </c>
      <c r="OJ5" s="2" cm="1">
        <f t="array" ref="OJ5">INDEX(动作!$N$3:$N$113,NV5)*NU$8</f>
        <v>0</v>
      </c>
      <c r="OK5" s="5">
        <f>(SUM(OI$4:OI$7)*(0.6+OF$25)+OI5*(0.4-OF$25))*(1+$T5+OE$25)+OJ5</f>
        <v>0</v>
      </c>
      <c r="OL5" s="5">
        <f>NW5*OC5%+NX5*OD5%+NY5*OE5%+OF5</f>
        <v>0</v>
      </c>
      <c r="OM5" s="3">
        <f ca="1">IFERROR(OFFSET($X5,0,MATCH(OA5,$Y$3:$AA$3,0)),0)+IF(OB5="心灵",$AB5,$X5)+IF(OB5="附着",$AC5,0)+IF(OB5="追击",$AD5,0)+OM$25+$W5+IF(NU$28,$AE$4,0)+OI10</f>
        <v>0.5</v>
      </c>
      <c r="ON5" s="3">
        <f>IF(OB5="DOT",50%,MIN($R5+ON$25+OG10,1))</f>
        <v>0.15</v>
      </c>
      <c r="OO5" s="3">
        <f>$S5+OO$25+OH10</f>
        <v>0.7</v>
      </c>
      <c r="OP5" s="5">
        <f>1+ON5*OO5</f>
        <v>1.105</v>
      </c>
      <c r="OQ5" s="3">
        <f>1-$B$6+OQ$25+IF($C$6=$F5,$C$8,0)+$AG5+OK10</f>
        <v>0.8</v>
      </c>
      <c r="OR5" s="3">
        <f>IF(OQ5&lt;1,OQ5,(OQ5-1)*0.925+1)</f>
        <v>0.8</v>
      </c>
      <c r="OS5" s="3">
        <f>MIN($AF5+OS$25+OJ10,1)</f>
        <v>0</v>
      </c>
      <c r="OT5" s="2">
        <f>IF(OB5="心灵",1,$B$4/($B$4+$C$4*(1-OS5)))</f>
        <v>0.497237569060773</v>
      </c>
      <c r="OU5" s="2" cm="1">
        <f t="array" ref="OU5">INDEX(动作!$I$3:$I$113,NV5)</f>
        <v>0</v>
      </c>
      <c r="OV5" s="6">
        <f ca="1">OL5*(1+OM5)*OP5*OR5*OT5*OM$28*(1+OT$25)</f>
        <v>0</v>
      </c>
      <c r="OW5" s="6">
        <f ca="1">OV5*NU$8</f>
        <v>0</v>
      </c>
      <c r="OX5" s="2" cm="1">
        <f t="array" ref="OX5">INDEX(云配队!$J5:$AC5,1,OX$1)</f>
        <v>0</v>
      </c>
      <c r="OY5" s="2" cm="1">
        <f t="array" ref="OY5">IFERROR(MATCH(1,(动作!$A$3:$A$111=$D5)*EXACT(动作!$B$3:$B$111,OX5),0),1)</f>
        <v>1</v>
      </c>
      <c r="OZ5" s="2">
        <f>$I5*(1+$J5+OZ$25)+$K5+PA$25</f>
        <v>2914.275</v>
      </c>
      <c r="PA5" s="2">
        <f>$L5*(1+$M5+PB$25)+$N5+PC$25</f>
        <v>20350</v>
      </c>
      <c r="PB5" s="2">
        <f>$O5*(1+$P5+PD$25)+$Q5+PE$25</f>
        <v>909</v>
      </c>
      <c r="PC5" s="2">
        <f>$U5+PF$25</f>
        <v>270</v>
      </c>
      <c r="PD5" s="2" t="str" cm="1">
        <f t="array" ref="PD5">INDEX(动作!$C$3:$C$113,OY5)</f>
        <v>无</v>
      </c>
      <c r="PE5" s="2" cm="1">
        <f t="array" ref="PE5">INDEX(动作!$D$3:$D$113,OY5)</f>
        <v>0</v>
      </c>
      <c r="PF5" s="2" cm="1">
        <f t="array" ref="PF5">INDEX(动作!$E$3:$E$113,OY5)*$AH5</f>
        <v>0</v>
      </c>
      <c r="PG5" s="2" cm="1">
        <f t="array" ref="PG5">INDEX(动作!$F$3:$F$113,OY5)*$AH5</f>
        <v>0</v>
      </c>
      <c r="PH5" s="2" cm="1">
        <f t="array" ref="PH5">INDEX(动作!$G$3:$G$113,OY5)*$AH5</f>
        <v>0</v>
      </c>
      <c r="PI5" s="2" cm="1">
        <f t="array" ref="PI5">INDEX(动作!$H$3:$H$113,OY5)</f>
        <v>0</v>
      </c>
      <c r="PJ5" s="2" cm="1">
        <f t="array" ref="PJ5">INDEX(动作!$L$3:$L$113,OY5)*(1+PG$25)*OX$8</f>
        <v>0</v>
      </c>
      <c r="PK5" s="2" cm="1">
        <f t="array" ref="PK5">INDEX(动作!$K$3:$K$113,OY5)*OX$8</f>
        <v>0</v>
      </c>
      <c r="PL5" s="2" cm="1">
        <f t="array" ref="PL5">INDEX(动作!$J$3:$J$113,OY5)*OX$8</f>
        <v>0</v>
      </c>
      <c r="PM5" s="2" cm="1">
        <f t="array" ref="PM5">INDEX(动作!$N$3:$N$113,OY5)*OX$8</f>
        <v>0</v>
      </c>
      <c r="PN5" s="5">
        <f>(SUM(PL$4:PL$7)*(0.6+PI$25)+PL5*(0.4-PI$25))*(1+$T5+PH$25)+PM5</f>
        <v>5.6658</v>
      </c>
      <c r="PO5" s="5">
        <f>OZ5*PF5%+PA5*PG5%+PB5*PH5%+PI5</f>
        <v>0</v>
      </c>
      <c r="PP5" s="3">
        <f ca="1">IFERROR(OFFSET($X5,0,MATCH(PD5,$Y$3:$AA$3,0)),0)+IF(PE5="心灵",$AB5,$X5)+IF(PE5="附着",$AC5,0)+IF(PE5="追击",$AD5,0)+PP$25+$W5+IF(OX$28,$AE$4,0)+PL10</f>
        <v>0.5</v>
      </c>
      <c r="PQ5" s="3">
        <f>IF(PE5="DOT",50%,MIN($R5+PQ$25+PJ10,1))</f>
        <v>0.15</v>
      </c>
      <c r="PR5" s="3">
        <f>$S5+PR$25+PK10</f>
        <v>0.7</v>
      </c>
      <c r="PS5" s="5">
        <f>1+PQ5*PR5</f>
        <v>1.105</v>
      </c>
      <c r="PT5" s="3">
        <f>1-$B$6+PT$25+IF($C$6=$F5,$C$8,0)+$AG5+PN10</f>
        <v>0.8</v>
      </c>
      <c r="PU5" s="3">
        <f>IF(PT5&lt;1,PT5,(PT5-1)*0.925+1)</f>
        <v>0.8</v>
      </c>
      <c r="PV5" s="3">
        <f>MIN($AF5+PV$25+PM10,1)</f>
        <v>0</v>
      </c>
      <c r="PW5" s="2">
        <f>IF(PE5="心灵",1,$B$4/($B$4+$C$4*(1-PV5)))</f>
        <v>0.497237569060773</v>
      </c>
      <c r="PX5" s="2" cm="1">
        <f t="array" ref="PX5">INDEX(动作!$I$3:$I$113,OY5)</f>
        <v>0</v>
      </c>
      <c r="PY5" s="6">
        <f ca="1">PO5*(1+PP5)*PS5*PU5*PW5*PP$28*(1+PW$25)</f>
        <v>0</v>
      </c>
      <c r="PZ5" s="6">
        <f ca="1">PY5*OX$8</f>
        <v>0</v>
      </c>
      <c r="QA5" s="2" cm="1">
        <f t="array" ref="QA5">INDEX(云配队!$J5:$AC5,1,QA$1)</f>
        <v>0</v>
      </c>
      <c r="QB5" s="2" cm="1">
        <f t="array" ref="QB5">IFERROR(MATCH(1,(动作!$A$3:$A$111=$D5)*EXACT(动作!$B$3:$B$111,QA5),0),1)</f>
        <v>1</v>
      </c>
      <c r="QC5" s="2">
        <f>$I5*(1+$J5+QC$25)+$K5+QD$25</f>
        <v>2914.275</v>
      </c>
      <c r="QD5" s="2">
        <f>$L5*(1+$M5+QE$25)+$N5+QF$25</f>
        <v>20350</v>
      </c>
      <c r="QE5" s="2">
        <f>$O5*(1+$P5+QG$25)+$Q5+QH$25</f>
        <v>909</v>
      </c>
      <c r="QF5" s="2">
        <f>$U5+QI$25</f>
        <v>270</v>
      </c>
      <c r="QG5" s="2" t="str" cm="1">
        <f t="array" ref="QG5">INDEX(动作!$C$3:$C$113,QB5)</f>
        <v>无</v>
      </c>
      <c r="QH5" s="2" cm="1">
        <f t="array" ref="QH5">INDEX(动作!$D$3:$D$113,QB5)</f>
        <v>0</v>
      </c>
      <c r="QI5" s="2" cm="1">
        <f t="array" ref="QI5">INDEX(动作!$E$3:$E$113,QB5)*$AH5</f>
        <v>0</v>
      </c>
      <c r="QJ5" s="2" cm="1">
        <f t="array" ref="QJ5">INDEX(动作!$F$3:$F$113,QB5)*$AH5</f>
        <v>0</v>
      </c>
      <c r="QK5" s="2" cm="1">
        <f t="array" ref="QK5">INDEX(动作!$G$3:$G$113,QB5)*$AH5</f>
        <v>0</v>
      </c>
      <c r="QL5" s="2" cm="1">
        <f t="array" ref="QL5">INDEX(动作!$H$3:$H$113,QB5)</f>
        <v>0</v>
      </c>
      <c r="QM5" s="2" cm="1">
        <f t="array" ref="QM5">INDEX(动作!$L$3:$L$113,QB5)*(1+QJ$25)*QA$8</f>
        <v>0</v>
      </c>
      <c r="QN5" s="2" cm="1">
        <f t="array" ref="QN5">INDEX(动作!$K$3:$K$113,QB5)*QA$8</f>
        <v>0</v>
      </c>
      <c r="QO5" s="2" cm="1">
        <f t="array" ref="QO5">INDEX(动作!$J$3:$J$113,QB5)*QA$8</f>
        <v>0</v>
      </c>
      <c r="QP5" s="2" cm="1">
        <f t="array" ref="QP5">INDEX(动作!$N$3:$N$113,QB5)*QA$8</f>
        <v>0</v>
      </c>
      <c r="QQ5" s="5">
        <f>(SUM(QO$4:QO$7)*(0.6+QL$25)+QO5*(0.4-QL$25))*(1+$T5+QK$25)+QP5</f>
        <v>0</v>
      </c>
      <c r="QR5" s="5">
        <f>QC5*QI5%+QD5*QJ5%+QE5*QK5%+QL5</f>
        <v>0</v>
      </c>
      <c r="QS5" s="3">
        <f ca="1">IFERROR(OFFSET($X5,0,MATCH(QG5,$Y$3:$AA$3,0)),0)+IF(QH5="心灵",$AB5,$X5)+IF(QH5="附着",$AC5,0)+IF(QH5="追击",$AD5,0)+QS$25+$W5+IF(QA$28,$AE$4,0)+QO10</f>
        <v>0.5</v>
      </c>
      <c r="QT5" s="3">
        <f>IF(QH5="DOT",50%,MIN($R5+QT$25+QM10,1))</f>
        <v>0.15</v>
      </c>
      <c r="QU5" s="3">
        <f>$S5+QU$25+QN10</f>
        <v>0.7</v>
      </c>
      <c r="QV5" s="5">
        <f>1+QT5*QU5</f>
        <v>1.105</v>
      </c>
      <c r="QW5" s="3">
        <f>1-$B$6+QW$25+IF($C$6=$F5,$C$8,0)+$AG5+QQ10</f>
        <v>0.8</v>
      </c>
      <c r="QX5" s="3">
        <f>IF(QW5&lt;1,QW5,(QW5-1)*0.925+1)</f>
        <v>0.8</v>
      </c>
      <c r="QY5" s="3">
        <f>MIN($AF5+QY$25+QP10,1)</f>
        <v>0</v>
      </c>
      <c r="QZ5" s="2">
        <f>IF(QH5="心灵",1,$B$4/($B$4+$C$4*(1-QY5)))</f>
        <v>0.497237569060773</v>
      </c>
      <c r="RA5" s="2" cm="1">
        <f t="array" ref="RA5">INDEX(动作!$I$3:$I$113,QB5)</f>
        <v>0</v>
      </c>
      <c r="RB5" s="6">
        <f ca="1">QR5*(1+QS5)*QV5*QX5*QZ5*QS$28*(1+QZ$25)</f>
        <v>0</v>
      </c>
      <c r="RC5" s="6">
        <f ca="1">RB5*QA$8</f>
        <v>0</v>
      </c>
      <c r="RD5" s="2" t="str" cm="1">
        <f t="array" ref="RD5">INDEX(云配队!$J5:$AC5,1,RD$1)</f>
        <v>援护</v>
      </c>
      <c r="RE5" s="2" cm="1">
        <f t="array" ref="RE5">IFERROR(MATCH(1,(动作!$A$3:$A$111=$D5)*EXACT(动作!$B$3:$B$111,RD5),0),1)</f>
        <v>2</v>
      </c>
      <c r="RF5" s="2">
        <f>$I5*(1+$J5+RF$25)+$K5+RG$25</f>
        <v>2914.275</v>
      </c>
      <c r="RG5" s="2">
        <f>$L5*(1+$M5+RH$25)+$N5+RI$25</f>
        <v>20350</v>
      </c>
      <c r="RH5" s="2">
        <f>$O5*(1+$P5+RJ$25)+$Q5+RK$25</f>
        <v>909</v>
      </c>
      <c r="RI5" s="2">
        <f>$U5+RL$25</f>
        <v>270</v>
      </c>
      <c r="RJ5" s="2" t="str" cm="1">
        <f t="array" ref="RJ5">INDEX(动作!$C$3:$C$113,RE5)</f>
        <v>援护</v>
      </c>
      <c r="RK5" s="2" cm="1">
        <f t="array" ref="RK5">INDEX(动作!$D$3:$D$113,RE5)</f>
        <v>0</v>
      </c>
      <c r="RL5" s="2" cm="1">
        <f t="array" ref="RL5">INDEX(动作!$E$3:$E$113,RE5)*$AH5</f>
        <v>431.784999454558</v>
      </c>
      <c r="RM5" s="2" cm="1">
        <f t="array" ref="RM5">INDEX(动作!$F$3:$F$113,RE5)*$AH5</f>
        <v>0</v>
      </c>
      <c r="RN5" s="2" cm="1">
        <f t="array" ref="RN5">INDEX(动作!$G$3:$G$113,RE5)*$AH5</f>
        <v>0</v>
      </c>
      <c r="RO5" s="2" cm="1">
        <f t="array" ref="RO5">INDEX(动作!$H$3:$H$113,RE5)</f>
        <v>0</v>
      </c>
      <c r="RP5" s="2" cm="1">
        <f t="array" ref="RP5">INDEX(动作!$L$3:$L$113,RE5)*(1+RM$25)*RD$8</f>
        <v>2.5</v>
      </c>
      <c r="RQ5" s="2" cm="1">
        <f t="array" ref="RQ5">INDEX(动作!$K$3:$K$113,RE5)*RD$8</f>
        <v>0</v>
      </c>
      <c r="RR5" s="2" cm="1">
        <f t="array" ref="RR5">INDEX(动作!$J$3:$J$113,RE5)*RD$8</f>
        <v>7.7</v>
      </c>
      <c r="RS5" s="2" cm="1">
        <f t="array" ref="RS5">INDEX(动作!$N$3:$N$113,RE5)*RD$8</f>
        <v>0</v>
      </c>
      <c r="RT5" s="5">
        <f>(SUM(RR$4:RR$7)*(0.6+RO$25)+RR5*(0.4-RO$25))*(1+$T5+RN$25)+RS5</f>
        <v>14.1512</v>
      </c>
      <c r="RU5" s="5">
        <f>RF5*RL5%+RG5*RM5%+RH5*RN5%+RO5</f>
        <v>12583.4022928543</v>
      </c>
      <c r="RV5" s="3">
        <f ca="1">IFERROR(OFFSET($X5,0,MATCH(RJ5,$Y$3:$AA$3,0)),0)+IF(RK5="心灵",$AB5,$X5)+IF(RK5="附着",$AC5,0)+IF(RK5="追击",$AD5,0)+RV$25+$W5+IF(RD$28,$AE$4,0)+RR10</f>
        <v>0.5</v>
      </c>
      <c r="RW5" s="3">
        <f>IF(RK5="DOT",50%,MIN($R5+RW$25+RP10,1))</f>
        <v>0.15</v>
      </c>
      <c r="RX5" s="3">
        <f>$S5+RX$25+RQ10</f>
        <v>0.7</v>
      </c>
      <c r="RY5" s="5">
        <f>1+RW5*RX5</f>
        <v>1.105</v>
      </c>
      <c r="RZ5" s="3">
        <f>1-$B$6+RZ$25+IF($C$6=$F5,$C$8,0)+$AG5+RT10</f>
        <v>0.8</v>
      </c>
      <c r="SA5" s="3">
        <f>IF(RZ5&lt;1,RZ5,(RZ5-1)*0.925+1)</f>
        <v>0.8</v>
      </c>
      <c r="SB5" s="3">
        <f>MIN($AF5+SB$25+RS10,1)</f>
        <v>0</v>
      </c>
      <c r="SC5" s="2">
        <f>IF(RK5="心灵",1,$B$4/($B$4+$C$4*(1-SB5)))</f>
        <v>0.497237569060773</v>
      </c>
      <c r="SD5" s="2" cm="1">
        <f t="array" ref="SD5">INDEX(动作!$I$3:$I$113,RE5)</f>
        <v>1.3</v>
      </c>
      <c r="SE5" s="6">
        <f ca="1">RU5*(1+RV5)*RY5*SA5*SC5*RV$28*(1+SC$25)</f>
        <v>8296.70292612835</v>
      </c>
      <c r="SF5" s="6">
        <f ca="1">SE5*RD$8</f>
        <v>8296.70292612835</v>
      </c>
      <c r="SG5" s="2" cm="1">
        <f t="array" ref="SG5">INDEX(云配队!$J5:$AC5,1,SG$1)</f>
        <v>0</v>
      </c>
      <c r="SH5" s="2" cm="1">
        <f t="array" ref="SH5">IFERROR(MATCH(1,(动作!$A$3:$A$111=$D5)*EXACT(动作!$B$3:$B$111,SG5),0),1)</f>
        <v>1</v>
      </c>
      <c r="SI5" s="2">
        <f>$I5*(1+$J5+SI$25)+$K5+SJ$25</f>
        <v>2914.275</v>
      </c>
      <c r="SJ5" s="2">
        <f>$L5*(1+$M5+SK$25)+$N5+SL$25</f>
        <v>20350</v>
      </c>
      <c r="SK5" s="2">
        <f>$O5*(1+$P5+SM$25)+$Q5+SN$25</f>
        <v>909</v>
      </c>
      <c r="SL5" s="2">
        <f>$U5+SO$25</f>
        <v>270</v>
      </c>
      <c r="SM5" s="2" t="str" cm="1">
        <f t="array" ref="SM5">INDEX(动作!$C$3:$C$113,SH5)</f>
        <v>无</v>
      </c>
      <c r="SN5" s="2" cm="1">
        <f t="array" ref="SN5">INDEX(动作!$D$3:$D$113,SH5)</f>
        <v>0</v>
      </c>
      <c r="SO5" s="2" cm="1">
        <f t="array" ref="SO5">INDEX(动作!$E$3:$E$113,SH5)*$AH5</f>
        <v>0</v>
      </c>
      <c r="SP5" s="2" cm="1">
        <f t="array" ref="SP5">INDEX(动作!$F$3:$F$113,SH5)*$AH5</f>
        <v>0</v>
      </c>
      <c r="SQ5" s="2" cm="1">
        <f t="array" ref="SQ5">INDEX(动作!$G$3:$G$113,SH5)*$AH5</f>
        <v>0</v>
      </c>
      <c r="SR5" s="2" cm="1">
        <f t="array" ref="SR5">INDEX(动作!$H$3:$H$113,SH5)</f>
        <v>0</v>
      </c>
      <c r="SS5" s="2" cm="1">
        <f t="array" ref="SS5">INDEX(动作!$L$3:$L$113,SH5)*(1+SP$25)*SG$8</f>
        <v>0</v>
      </c>
      <c r="ST5" s="2" cm="1">
        <f t="array" ref="ST5">INDEX(动作!$K$3:$K$113,SH5)*SG$8</f>
        <v>0</v>
      </c>
      <c r="SU5" s="2" cm="1">
        <f t="array" ref="SU5">INDEX(动作!$J$3:$J$113,SH5)*SG$8</f>
        <v>0</v>
      </c>
      <c r="SV5" s="2" cm="1">
        <f t="array" ref="SV5">INDEX(动作!$N$3:$N$113,SH5)*SG$8</f>
        <v>0</v>
      </c>
      <c r="SW5" s="5">
        <f>(SUM(SU$4:SU$7)*(0.6+SR$25)+SU5*(0.4-SR$25))*(1+$T5+SQ$25)+SV5</f>
        <v>0</v>
      </c>
      <c r="SX5" s="5">
        <f>SI5*SO5%+SJ5*SP5%+SK5*SQ5%+SR5</f>
        <v>0</v>
      </c>
      <c r="SY5" s="3">
        <f ca="1">IFERROR(OFFSET($X5,0,MATCH(SM5,$Y$3:$AA$3,0)),0)+IF(SN5="心灵",$AB5,$X5)+IF(SN5="附着",$AC5,0)+IF(SN5="追击",$AD5,0)+SY$25+$W5+IF(SG$28,$AE$4,0)+SU10</f>
        <v>0.5</v>
      </c>
      <c r="SZ5" s="3">
        <f>IF(SN5="DOT",50%,MIN($R5+SZ$25+SS10,1))</f>
        <v>0.15</v>
      </c>
      <c r="TA5" s="3">
        <f>$S5+TA$25+ST10</f>
        <v>0.7</v>
      </c>
      <c r="TB5" s="5">
        <f>1+SZ5*TA5</f>
        <v>1.105</v>
      </c>
      <c r="TC5" s="3">
        <f>1-$B$6+TC$25+IF($C$6=$F5,$C$8,0)+$AG5+SW10</f>
        <v>0.8</v>
      </c>
      <c r="TD5" s="3">
        <f>IF(TC5&lt;1,TC5,(TC5-1)*0.925+1)</f>
        <v>0.8</v>
      </c>
      <c r="TE5" s="3">
        <f>MIN($AF5+TE$25+SV10,1)</f>
        <v>0</v>
      </c>
      <c r="TF5" s="2">
        <f>IF(SN5="心灵",1,$B$4/($B$4+$C$4*(1-TE5)))</f>
        <v>0.497237569060773</v>
      </c>
      <c r="TG5" s="2" cm="1">
        <f t="array" ref="TG5">INDEX(动作!$I$3:$I$113,SH5)</f>
        <v>0</v>
      </c>
      <c r="TH5" s="6">
        <f ca="1">SX5*(1+SY5)*TB5*TD5*TF5*SY$28*(1+TF$25)</f>
        <v>0</v>
      </c>
      <c r="TI5" s="6">
        <f ca="1">TH5*SG$8</f>
        <v>0</v>
      </c>
      <c r="TJ5" s="2" cm="1">
        <f t="array" ref="TJ5">INDEX(云配队!$J5:$AC5,1,TJ$1)</f>
        <v>0</v>
      </c>
      <c r="TK5" s="2" cm="1">
        <f t="array" ref="TK5">IFERROR(MATCH(1,(动作!$A$3:$A$111=$D5)*EXACT(动作!$B$3:$B$111,TJ5),0),1)</f>
        <v>1</v>
      </c>
      <c r="TL5" s="2">
        <f>$I5*(1+$J5+TL$25)+$K5+TM$25</f>
        <v>2914.275</v>
      </c>
      <c r="TM5" s="2">
        <f>$L5*(1+$M5+TN$25)+$N5+TO$25</f>
        <v>20350</v>
      </c>
      <c r="TN5" s="2">
        <f>$O5*(1+$P5+TP$25)+$Q5+TQ$25</f>
        <v>909</v>
      </c>
      <c r="TO5" s="2">
        <f>$U5+TR$25</f>
        <v>270</v>
      </c>
      <c r="TP5" s="2" t="str" cm="1">
        <f t="array" ref="TP5">INDEX(动作!$C$3:$C$113,TK5)</f>
        <v>无</v>
      </c>
      <c r="TQ5" s="2" cm="1">
        <f t="array" ref="TQ5">INDEX(动作!$D$3:$D$113,TK5)</f>
        <v>0</v>
      </c>
      <c r="TR5" s="2" cm="1">
        <f t="array" ref="TR5">INDEX(动作!$E$3:$E$113,TK5)*$AH5</f>
        <v>0</v>
      </c>
      <c r="TS5" s="2" cm="1">
        <f t="array" ref="TS5">INDEX(动作!$F$3:$F$113,TK5)*$AH5</f>
        <v>0</v>
      </c>
      <c r="TT5" s="2" cm="1">
        <f t="array" ref="TT5">INDEX(动作!$G$3:$G$113,TK5)*$AH5</f>
        <v>0</v>
      </c>
      <c r="TU5" s="2" cm="1">
        <f t="array" ref="TU5">INDEX(动作!$H$3:$H$113,TK5)</f>
        <v>0</v>
      </c>
      <c r="TV5" s="2" cm="1">
        <f t="array" ref="TV5">INDEX(动作!$L$3:$L$113,TK5)*(1+TS$25)*TJ$8</f>
        <v>0</v>
      </c>
      <c r="TW5" s="2" cm="1">
        <f t="array" ref="TW5">INDEX(动作!$K$3:$K$113,TK5)*TJ$8</f>
        <v>0</v>
      </c>
      <c r="TX5" s="2" cm="1">
        <f t="array" ref="TX5">INDEX(动作!$J$3:$J$113,TK5)*TJ$8</f>
        <v>0</v>
      </c>
      <c r="TY5" s="2" cm="1">
        <f t="array" ref="TY5">INDEX(动作!$N$3:$N$113,TK5)*TJ$8</f>
        <v>0</v>
      </c>
      <c r="TZ5" s="5">
        <f>(SUM(TX$4:TX$7)*(0.6+TU$25)+TX5*(0.4-TU$25))*(1+$T5+TT$25)+TY5</f>
        <v>0</v>
      </c>
      <c r="UA5" s="5">
        <f>TL5*TR5%+TM5*TS5%+TN5*TT5%+TU5</f>
        <v>0</v>
      </c>
      <c r="UB5" s="3">
        <f ca="1">IFERROR(OFFSET($X5,0,MATCH(TP5,$Y$3:$AA$3,0)),0)+IF(TQ5="心灵",$AB5,$X5)+IF(TQ5="附着",$AC5,0)+IF(TQ5="追击",$AD5,0)+UB$25+$W5+IF(TJ$28,$AE$4,0)+TX10</f>
        <v>0.5</v>
      </c>
      <c r="UC5" s="3">
        <f>IF(TQ5="DOT",50%,MIN($R5+UC$25+TV10,1))</f>
        <v>0.15</v>
      </c>
      <c r="UD5" s="3">
        <f>$S5+UD$25+TW10</f>
        <v>0.7</v>
      </c>
      <c r="UE5" s="5">
        <f>1+UC5*UD5</f>
        <v>1.105</v>
      </c>
      <c r="UF5" s="3">
        <f>1-$B$6+UF$25+IF($C$6=$F5,$C$8,0)+$AG5+TZ10</f>
        <v>0.8</v>
      </c>
      <c r="UG5" s="3">
        <f>IF(UF5&lt;1,UF5,(UF5-1)*0.925+1)</f>
        <v>0.8</v>
      </c>
      <c r="UH5" s="3">
        <f>MIN($AF5+UH$25+TY10,1)</f>
        <v>0</v>
      </c>
      <c r="UI5" s="2">
        <f>IF(TQ5="心灵",1,$B$4/($B$4+$C$4*(1-UH5)))</f>
        <v>0.497237569060773</v>
      </c>
      <c r="UJ5" s="2" cm="1">
        <f t="array" ref="UJ5">INDEX(动作!$I$3:$I$113,TK5)</f>
        <v>0</v>
      </c>
      <c r="UK5" s="6">
        <f ca="1">UA5*(1+UB5)*UE5*UG5*UI5*UB$28*(1+UI$25)</f>
        <v>0</v>
      </c>
      <c r="UL5" s="6">
        <f ca="1">UK5*TJ$8</f>
        <v>0</v>
      </c>
      <c r="UM5" s="2" cm="1">
        <f t="array" ref="UM5">INDEX(云配队!$J5:$AC5,1,UM$1)</f>
        <v>0</v>
      </c>
      <c r="UN5" s="2" cm="1">
        <f t="array" ref="UN5">IFERROR(MATCH(1,(动作!$A$3:$A$111=$D5)*EXACT(动作!$B$3:$B$111,UM5),0),1)</f>
        <v>1</v>
      </c>
      <c r="UO5" s="2">
        <f>$I5*(1+$J5+UO$25)+$K5+UP$25</f>
        <v>2914.275</v>
      </c>
      <c r="UP5" s="2">
        <f>$L5*(1+$M5+UQ$25)+$N5+UR$25</f>
        <v>20350</v>
      </c>
      <c r="UQ5" s="2">
        <f>$O5*(1+$P5+US$25)+$Q5+UT$25</f>
        <v>909</v>
      </c>
      <c r="UR5" s="2">
        <f>$U5+UU$25</f>
        <v>270</v>
      </c>
      <c r="US5" s="2" t="str" cm="1">
        <f t="array" ref="US5">INDEX(动作!$C$3:$C$113,UN5)</f>
        <v>无</v>
      </c>
      <c r="UT5" s="2" cm="1">
        <f t="array" ref="UT5">INDEX(动作!$D$3:$D$113,UN5)</f>
        <v>0</v>
      </c>
      <c r="UU5" s="2" cm="1">
        <f t="array" ref="UU5">INDEX(动作!$E$3:$E$113,UN5)*$AH5</f>
        <v>0</v>
      </c>
      <c r="UV5" s="2" cm="1">
        <f t="array" ref="UV5">INDEX(动作!$F$3:$F$113,UN5)*$AH5</f>
        <v>0</v>
      </c>
      <c r="UW5" s="2" cm="1">
        <f t="array" ref="UW5">INDEX(动作!$G$3:$G$113,UN5)*$AH5</f>
        <v>0</v>
      </c>
      <c r="UX5" s="2" cm="1">
        <f t="array" ref="UX5">INDEX(动作!$H$3:$H$113,UN5)</f>
        <v>0</v>
      </c>
      <c r="UY5" s="2" cm="1">
        <f t="array" ref="UY5">INDEX(动作!$L$3:$L$113,UN5)*(1+UV$25)*UM$8</f>
        <v>0</v>
      </c>
      <c r="UZ5" s="2" cm="1">
        <f t="array" ref="UZ5">INDEX(动作!$K$3:$K$113,UN5)*UM$8</f>
        <v>0</v>
      </c>
      <c r="VA5" s="2" cm="1">
        <f t="array" ref="VA5">INDEX(动作!$J$3:$J$113,UN5)*UM$8</f>
        <v>0</v>
      </c>
      <c r="VB5" s="2" cm="1">
        <f t="array" ref="VB5">INDEX(动作!$N$3:$N$113,UN5)*UM$8</f>
        <v>0</v>
      </c>
      <c r="VC5" s="5">
        <f>(SUM(VA$4:VA$7)*(0.6+UX$25)+VA5*(0.4-UX$25))*(1+$T5+UW$25)+VB5</f>
        <v>0</v>
      </c>
      <c r="VD5" s="5">
        <f>UO5*UU5%+UP5*UV5%+UQ5*UW5%+UX5</f>
        <v>0</v>
      </c>
      <c r="VE5" s="3">
        <f ca="1">IFERROR(OFFSET($X5,0,MATCH(US5,$Y$3:$AA$3,0)),0)+IF(UT5="心灵",$AB5,$X5)+IF(UT5="附着",$AC5,0)+IF(UT5="追击",$AD5,0)+VE$25+$W5+IF(UM$28,$AE$4,0)+VA10</f>
        <v>0.575</v>
      </c>
      <c r="VF5" s="3">
        <f>IF(UT5="DOT",50%,MIN($R5+VF$25+UY10,1))</f>
        <v>0.15</v>
      </c>
      <c r="VG5" s="3">
        <f>$S5+VG$25+UZ10</f>
        <v>0.7</v>
      </c>
      <c r="VH5" s="5">
        <f>1+VF5*VG5</f>
        <v>1.105</v>
      </c>
      <c r="VI5" s="3">
        <f>1-$B$6+VI$25+IF($C$6=$F5,$C$8,0)+$AG5+VC10</f>
        <v>0.8</v>
      </c>
      <c r="VJ5" s="3">
        <f>IF(VI5&lt;1,VI5,(VI5-1)*0.925+1)</f>
        <v>0.8</v>
      </c>
      <c r="VK5" s="3">
        <f>MIN($AF5+VK$25+VB10,1)</f>
        <v>0</v>
      </c>
      <c r="VL5" s="2">
        <f>IF(UT5="心灵",1,$B$4/($B$4+$C$4*(1-VK5)))</f>
        <v>0.497237569060773</v>
      </c>
      <c r="VM5" s="2" cm="1">
        <f t="array" ref="VM5">INDEX(动作!$I$3:$I$113,UN5)</f>
        <v>0</v>
      </c>
      <c r="VN5" s="6">
        <f ca="1">VD5*(1+VE5)*VH5*VJ5*VL5*VE$28*(1+VL$25)</f>
        <v>0</v>
      </c>
      <c r="VO5" s="6">
        <f ca="1">VN5*UM$8</f>
        <v>0</v>
      </c>
      <c r="VP5" s="2" cm="1">
        <f t="array" ref="VP5">INDEX(云配队!$J5:$AC5,1,VP$1)</f>
        <v>0</v>
      </c>
      <c r="VQ5" s="2" cm="1">
        <f t="array" ref="VQ5">IFERROR(MATCH(1,(动作!$A$3:$A$111=$D5)*EXACT(动作!$B$3:$B$111,VP5),0),1)</f>
        <v>1</v>
      </c>
      <c r="VR5" s="2">
        <f>$I5*(1+$J5+VR$25)+$K5+VS$25</f>
        <v>2914.275</v>
      </c>
      <c r="VS5" s="2">
        <f>$L5*(1+$M5+VT$25)+$N5+VU$25</f>
        <v>20350</v>
      </c>
      <c r="VT5" s="2">
        <f>$O5*(1+$P5+VV$25)+$Q5+VW$25</f>
        <v>909</v>
      </c>
      <c r="VU5" s="2">
        <f>$U5+VX$25</f>
        <v>270</v>
      </c>
      <c r="VV5" s="2" t="str" cm="1">
        <f t="array" ref="VV5">INDEX(动作!$C$3:$C$113,VQ5)</f>
        <v>无</v>
      </c>
      <c r="VW5" s="2" cm="1">
        <f t="array" ref="VW5">INDEX(动作!$D$3:$D$113,VQ5)</f>
        <v>0</v>
      </c>
      <c r="VX5" s="2" cm="1">
        <f t="array" ref="VX5">INDEX(动作!$E$3:$E$113,VQ5)*$AH5</f>
        <v>0</v>
      </c>
      <c r="VY5" s="2" cm="1">
        <f t="array" ref="VY5">INDEX(动作!$F$3:$F$113,VQ5)*$AH5</f>
        <v>0</v>
      </c>
      <c r="VZ5" s="2" cm="1">
        <f t="array" ref="VZ5">INDEX(动作!$G$3:$G$113,VQ5)*$AH5</f>
        <v>0</v>
      </c>
      <c r="WA5" s="2" cm="1">
        <f t="array" ref="WA5">INDEX(动作!$H$3:$H$113,VQ5)</f>
        <v>0</v>
      </c>
      <c r="WB5" s="2" cm="1">
        <f t="array" ref="WB5">INDEX(动作!$L$3:$L$113,VQ5)*(1+VY$25)*VP$8</f>
        <v>0</v>
      </c>
      <c r="WC5" s="2" cm="1">
        <f t="array" ref="WC5">INDEX(动作!$K$3:$K$113,VQ5)*VP$8</f>
        <v>0</v>
      </c>
      <c r="WD5" s="2" cm="1">
        <f t="array" ref="WD5">INDEX(动作!$J$3:$J$113,VQ5)*VP$8</f>
        <v>0</v>
      </c>
      <c r="WE5" s="2" cm="1">
        <f t="array" ref="WE5">INDEX(动作!$N$3:$N$113,VQ5)*VP$8</f>
        <v>0</v>
      </c>
      <c r="WF5" s="5">
        <f>(SUM(WD$4:WD$7)*(0.6+WA$25)+WD5*(0.4-WA$25))*(1+$T5+VZ$25)+WE5</f>
        <v>0</v>
      </c>
      <c r="WG5" s="5">
        <f>VR5*VX5%+VS5*VY5%+VT5*VZ5%+WA5</f>
        <v>0</v>
      </c>
      <c r="WH5" s="3">
        <f ca="1">IFERROR(OFFSET($X5,0,MATCH(VV5,$Y$3:$AA$3,0)),0)+IF(VW5="心灵",$AB5,$X5)+IF(VW5="附着",$AC5,0)+IF(VW5="追击",$AD5,0)+WH$25+$W5+IF(VP$28,$AE$4,0)+WD10</f>
        <v>0.5</v>
      </c>
      <c r="WI5" s="3">
        <f>IF(VW5="DOT",50%,MIN($R5+WI$25+WB10,1))</f>
        <v>0.15</v>
      </c>
      <c r="WJ5" s="3">
        <f>$S5+WJ$25+WC10</f>
        <v>0.7</v>
      </c>
      <c r="WK5" s="5">
        <f>1+WI5*WJ5</f>
        <v>1.105</v>
      </c>
      <c r="WL5" s="3">
        <f>1-$B$6+WL$25+IF($C$6=$F5,$C$8,0)+$AG5+WF10</f>
        <v>0.8</v>
      </c>
      <c r="WM5" s="3">
        <f>IF(WL5&lt;1,WL5,(WL5-1)*0.925+1)</f>
        <v>0.8</v>
      </c>
      <c r="WN5" s="3">
        <f>MIN($AF5+WN$25+WE10,1)</f>
        <v>0.1675</v>
      </c>
      <c r="WO5" s="2">
        <f>IF(VW5="心灵",1,$B$4/($B$4+$C$4*(1-WN5)))</f>
        <v>0.542961856929551</v>
      </c>
      <c r="WP5" s="2" cm="1">
        <f t="array" ref="WP5">INDEX(动作!$I$3:$I$113,VQ5)</f>
        <v>0</v>
      </c>
      <c r="WQ5" s="6">
        <f ca="1">WG5*(1+WH5)*WK5*WM5*WO5*WH$28*(1+WO$25)</f>
        <v>0</v>
      </c>
      <c r="WR5" s="6">
        <f ca="1">WQ5*VP$8</f>
        <v>0</v>
      </c>
    </row>
    <row r="6" spans="1:616">
      <c r="A6" s="2">
        <f>云配队!$G$9</f>
        <v>82</v>
      </c>
      <c r="B6" s="3">
        <f>云配队!F11</f>
        <v>0.2</v>
      </c>
      <c r="C6" s="2">
        <f>云配队!G11</f>
        <v>0</v>
      </c>
      <c r="D6" s="2" t="str">
        <f>云配队!F6</f>
        <v>阿德勒</v>
      </c>
      <c r="E6" s="2">
        <f>MATCH($D6,角色!$A$3:$A$18,0)</f>
        <v>10</v>
      </c>
      <c r="F6" s="2" t="str">
        <f>VLOOKUP($D6,配装!$A$3:$B$18,2,FALSE)</f>
        <v>咒</v>
      </c>
      <c r="G6" s="2">
        <f>MATCH(云配队!G6,弧盘!$A$3:$A$51,0)</f>
        <v>47</v>
      </c>
      <c r="H6" s="2">
        <f>MATCH(云配队!H6,卡带!$A$3:$A$14,0)</f>
        <v>8</v>
      </c>
      <c r="I6" s="2" cm="1">
        <f t="array" ref="I6">INDEX(配装!D$3:D$18,$E6)</f>
        <v>832.25</v>
      </c>
      <c r="J6" s="3" cm="1">
        <f t="array" ref="J6">INDEX(配装!E$3:E$18,$E6)+INDEX(弧盘!$R$3:$R$51,G6)+INDEX(卡带!$O$3:$O$14,H6)</f>
        <v>0.2625</v>
      </c>
      <c r="K6" s="2" cm="1">
        <f t="array" ref="K6">INDEX(配装!F$3:F$18,$E6)</f>
        <v>420</v>
      </c>
      <c r="L6" s="2" cm="1">
        <f t="array" ref="L6">INDEX(配装!H$3:H$18,$E6)</f>
        <v>14301.6</v>
      </c>
      <c r="M6" s="2" cm="1">
        <f t="array" ref="M6">INDEX(配装!I$3:I$18,$E6)</f>
        <v>0</v>
      </c>
      <c r="N6" s="2" cm="1">
        <f t="array" ref="N6">INDEX(配装!J$3:J$18,$E6)</f>
        <v>5200</v>
      </c>
      <c r="O6" s="2" cm="1">
        <f t="array" ref="O6">INDEX(配装!L$3:L$18,$E6)</f>
        <v>993.84</v>
      </c>
      <c r="P6" s="2" cm="1">
        <f t="array" ref="P6">INDEX(配装!M$3:M$18,$E6)</f>
        <v>2.395</v>
      </c>
      <c r="Q6" s="2" cm="1">
        <f t="array" ref="Q6">INDEX(配装!N$3:N$18,$E6)</f>
        <v>0</v>
      </c>
      <c r="R6" s="4" cm="1">
        <f t="array" ref="R6">INDEX(配装!P$3:P$18,$E6)+INDEX(弧盘!P$3:P$51,$G6)+INDEX(卡带!M$3:M$14,$H6)</f>
        <v>0.2</v>
      </c>
      <c r="S6" s="4" cm="1">
        <f t="array" ref="S6">INDEX(配装!Q$3:Q$18,$E6)+INDEX(弧盘!Q$3:Q$51,$G6)+INDEX(卡带!N$3:N$14,$H6)</f>
        <v>0.8</v>
      </c>
      <c r="T6" s="5" cm="1">
        <f t="array" ref="T6">INDEX(配装!S$3:S$18,$E6)</f>
        <v>0</v>
      </c>
      <c r="U6" s="5" cm="1">
        <f t="array" ref="U6">INDEX(配装!T$3:T$18,$E6)+INDEX(弧盘!V$3:V$51,$G6)</f>
        <v>0</v>
      </c>
      <c r="V6" s="5" cm="1">
        <f t="array" ref="V6">INDEX(配装!U$3:U$18,$E6)+INDEX(弧盘!W$3:W$51,$G6)+IF(T12&gt;=3,126,0)</f>
        <v>0</v>
      </c>
      <c r="W6" s="4" cm="1">
        <f t="array" ref="W6">INDEX(角色!W$3:W$18,$E6)+INDEX(弧盘!X$3:X$51,$G6)+INDEX(卡带!Q$3:Q$15,$H6)+INDEX(配装!$AG$3:$AG$18,$E6)</f>
        <v>0.15</v>
      </c>
      <c r="X6" s="4" cm="1">
        <f t="array" ref="X6">INDEX(配装!$R$3:$R$18,E6)+INDEX(弧盘!Y$3:Y$51,$G6)+INDEX(卡带!R$3:R$15,$H6)</f>
        <v>0.375</v>
      </c>
      <c r="Y6" s="4" cm="1">
        <f t="array" ref="Y6">INDEX(角色!Y$3:Y$18,$E6)+INDEX(弧盘!Z$3:Z$51,$G6)+INDEX(卡带!S$3:S$15,$H6)</f>
        <v>0</v>
      </c>
      <c r="Z6" s="4" cm="1">
        <f t="array" ref="Z6">INDEX(角色!Z$3:Z$18,$E6)+INDEX(弧盘!AA$3:AA$51,$G6)+INDEX(卡带!T$3:T$15,$H6)</f>
        <v>0</v>
      </c>
      <c r="AA6" s="4" cm="1">
        <f t="array" ref="AA6">INDEX(角色!AA$3:AA$18,$E6)+INDEX(弧盘!AB$3:AB$51,$G6)+INDEX(卡带!U$3:U$15,$H6)</f>
        <v>0</v>
      </c>
      <c r="AB6" s="4" cm="1">
        <f t="array" ref="AB6">INDEX(角色!AB$3:AB$18,$E6)+INDEX(弧盘!AC$3:AC$51,$G6)+INDEX(卡带!V$3:V$15,$H6)+INDEX(卡带!$I$3:$I$14,$H$4)</f>
        <v>0</v>
      </c>
      <c r="AC6" s="4" cm="1">
        <f t="array" ref="AC6">INDEX(角色!AC$3:AC$18,$E6)+INDEX(弧盘!AD$3:AD$51,$G6)</f>
        <v>0</v>
      </c>
      <c r="AD6" s="4" cm="1">
        <f t="array" ref="AD6">INDEX(角色!AD$3:AD$18,$E6)+INDEX(弧盘!AE$3:AE$51,$G6)</f>
        <v>0</v>
      </c>
      <c r="AE6" s="4" cm="1">
        <f t="array" ref="AE6">INDEX(角色!AE$3:AE$18,$E6)+INDEX(弧盘!AF$3:AF$51,$G6)</f>
        <v>0</v>
      </c>
      <c r="AF6" s="4" cm="1">
        <f t="array" ref="AF6">INDEX(角色!R$3:R$18,$E6)+INDEX(卡带!K$3:K$14,$H6)</f>
        <v>0</v>
      </c>
      <c r="AG6" s="4" cm="1">
        <f t="array" ref="AG6">INDEX(角色!S$3:S$18,$E6)+INDEX(卡带!L$3:L$14,$H6)</f>
        <v>0</v>
      </c>
      <c r="AH6" s="2" cm="1">
        <f t="array" ref="AH6">INDEX(配装!$AA$3:$AA$18,E6)</f>
        <v>2.15892499727279</v>
      </c>
      <c r="AK6" s="2" cm="1">
        <f t="array" ref="AK6">INDEX(云配队!$J6:$AC6,1,AK$1)</f>
        <v>0</v>
      </c>
      <c r="AL6" s="2" cm="1">
        <f t="array" ref="AL6">IFERROR(MATCH(1,(动作!$A$3:$A$111=$D6)*EXACT(动作!$B$3:$B$111,AK6),0),1)</f>
        <v>1</v>
      </c>
      <c r="AM6" s="2">
        <f>$I6*(1+$J6+AM$25)+$K6+AN$25</f>
        <v>1533.134375</v>
      </c>
      <c r="AN6" s="2">
        <f>$L6*(1+$M6+AO$25)+$N6+AP$25</f>
        <v>19501.6</v>
      </c>
      <c r="AO6" s="2">
        <f>$O6*(1+$P6+AQ$25)+$Q6+AR$25</f>
        <v>3374.0868</v>
      </c>
      <c r="AP6" s="2">
        <f>$U6+AS$25</f>
        <v>0</v>
      </c>
      <c r="AQ6" s="2" t="str" cm="1">
        <f t="array" ref="AQ6">INDEX(动作!$C$3:$C$113,AL6)</f>
        <v>无</v>
      </c>
      <c r="AR6" s="2" cm="1">
        <f t="array" ref="AR6">INDEX(动作!$D$3:$D$113,AL6)</f>
        <v>0</v>
      </c>
      <c r="AS6" s="2" cm="1">
        <f t="array" ref="AS6">INDEX(动作!$E$3:$E$113,AL6)*$AH6</f>
        <v>0</v>
      </c>
      <c r="AT6" s="2" cm="1">
        <f t="array" ref="AT6">INDEX(动作!$F$3:$F$113,AL6)*$AH6</f>
        <v>0</v>
      </c>
      <c r="AU6" s="2" cm="1">
        <f t="array" ref="AU6">INDEX(动作!$G$3:$G$113,AL6)*$AH6</f>
        <v>0</v>
      </c>
      <c r="AV6" s="2" cm="1">
        <f t="array" ref="AV6">INDEX(动作!$H$3:$H$113,AL6)</f>
        <v>0</v>
      </c>
      <c r="AW6" s="2" cm="1">
        <f t="array" ref="AW6">INDEX(动作!$L$3:$L$113,AL6)*(1+AT$25)*AK$8</f>
        <v>0</v>
      </c>
      <c r="AX6" s="2" cm="1">
        <f t="array" ref="AX6">INDEX(动作!$K$3:$K$113,AL6)*AK$8</f>
        <v>0</v>
      </c>
      <c r="AY6" s="2" cm="1">
        <f t="array" ref="AY6">INDEX(动作!$J$3:$J$113,AL6)*AK$8</f>
        <v>0</v>
      </c>
      <c r="AZ6" s="2" cm="1">
        <f t="array" ref="AZ6">INDEX(动作!$N$3:$N$113,AL6)*AK$8</f>
        <v>0</v>
      </c>
      <c r="BA6" s="5">
        <f>(SUM(AY$4:AY$7)*(0.6+AV$25)+AY6*(0.4-AV$25))*(1+$T6+AU$25)+AZ6</f>
        <v>5.2806</v>
      </c>
      <c r="BB6" s="5">
        <f>AM6*AS6%+AN6*AT6%+AO6*AU6%+AV6</f>
        <v>0</v>
      </c>
      <c r="BC6" s="3">
        <f ca="1">IFERROR(OFFSET($X6,0,MATCH(AQ6,$Y$3:$AA$3,0)),0)+IF(AR6="心灵",$AB6,$X6)+IF(AR6="附着",$AC6,0)+IF(AR6="追击",$AD6,0)+BC$25+$W6+IF(AK$28,$AE$4,0)+AY11</f>
        <v>0.525</v>
      </c>
      <c r="BD6" s="3">
        <f>IF(AR6="DOT",50%,MIN($R6+BD$25+AW11,1))</f>
        <v>0.2</v>
      </c>
      <c r="BE6" s="3">
        <f>$S6+BE$25+AX11</f>
        <v>0.8</v>
      </c>
      <c r="BF6" s="5">
        <f>1+BD6*BE6</f>
        <v>1.16</v>
      </c>
      <c r="BG6" s="3">
        <f>1-$B$6+BG$25+IF($C$6=$F6,$C$8,0)+$AG6+BA11</f>
        <v>0.8</v>
      </c>
      <c r="BH6" s="3">
        <f>IF(BG6&lt;1,BG6,(BG6-1)*0.925+1)</f>
        <v>0.8</v>
      </c>
      <c r="BI6" s="3">
        <f>MIN($AF6+BI$25+AZ11,1)</f>
        <v>0.1675</v>
      </c>
      <c r="BJ6" s="2">
        <f>IF(AR6="心灵",1,$B$4/($B$4+$C$4*(1-BI6)))</f>
        <v>0.542961856929551</v>
      </c>
      <c r="BK6" s="2" cm="1">
        <f t="array" ref="BK6">INDEX(动作!$I$3:$I$113,AL6)</f>
        <v>0</v>
      </c>
      <c r="BL6" s="6">
        <f ca="1">BB6*(1+BC6)*BF6*BH6*BJ6*BC$28*(1+BJ$25)</f>
        <v>0</v>
      </c>
      <c r="BM6" s="6">
        <f ca="1">BL6*AK$8</f>
        <v>0</v>
      </c>
      <c r="BN6" s="2" cm="1">
        <f t="array" ref="BN6">INDEX(云配队!$J6:$AC6,1,BN$1)</f>
        <v>0</v>
      </c>
      <c r="BO6" s="2" cm="1">
        <f t="array" ref="BO6">IFERROR(MATCH(1,(动作!$A$3:$A$111=$D6)*EXACT(动作!$B$3:$B$111,BN6),0),1)</f>
        <v>1</v>
      </c>
      <c r="BP6" s="2">
        <f>$I6*(1+$J6+BP$25)+$K6+BQ$25</f>
        <v>1533.134375</v>
      </c>
      <c r="BQ6" s="2">
        <f>$L6*(1+$M6+BR$25)+$N6+BS$25</f>
        <v>19501.6</v>
      </c>
      <c r="BR6" s="2">
        <f>$O6*(1+$P6+BT$25)+$Q6+BU$25</f>
        <v>3374.0868</v>
      </c>
      <c r="BS6" s="2">
        <f>$U6+BV$25</f>
        <v>0</v>
      </c>
      <c r="BT6" s="2" t="str" cm="1">
        <f t="array" ref="BT6">INDEX(动作!$C$3:$C$113,BO6)</f>
        <v>无</v>
      </c>
      <c r="BU6" s="2" cm="1">
        <f t="array" ref="BU6">INDEX(动作!$D$3:$D$113,BO6)</f>
        <v>0</v>
      </c>
      <c r="BV6" s="2" cm="1">
        <f t="array" ref="BV6">INDEX(动作!$E$3:$E$113,BO6)*$AH6</f>
        <v>0</v>
      </c>
      <c r="BW6" s="2" cm="1">
        <f t="array" ref="BW6">INDEX(动作!$F$3:$F$113,BO6)*$AH6</f>
        <v>0</v>
      </c>
      <c r="BX6" s="2" cm="1">
        <f t="array" ref="BX6">INDEX(动作!$G$3:$G$113,BO6)*$AH6</f>
        <v>0</v>
      </c>
      <c r="BY6" s="2" cm="1">
        <f t="array" ref="BY6">INDEX(动作!$H$3:$H$113,BO6)</f>
        <v>0</v>
      </c>
      <c r="BZ6" s="2" cm="1">
        <f t="array" ref="BZ6">INDEX(动作!$L$3:$L$113,BO6)*(1+BW$25)*BN$8</f>
        <v>0</v>
      </c>
      <c r="CA6" s="2" cm="1">
        <f t="array" ref="CA6">INDEX(动作!$K$3:$K$113,BO6)*BN$8</f>
        <v>0</v>
      </c>
      <c r="CB6" s="2" cm="1">
        <f t="array" ref="CB6">INDEX(动作!$J$3:$J$113,BO6)*BN$8</f>
        <v>0</v>
      </c>
      <c r="CC6" s="2" cm="1">
        <f t="array" ref="CC6">INDEX(动作!$N$3:$N$113,BO6)*BN$8</f>
        <v>0</v>
      </c>
      <c r="CD6" s="5">
        <f>(SUM(CB$4:CB$7)*(0.6+BY$25)+CB6*(0.4-BY$25))*(1+$T6+BX$25)+CC6</f>
        <v>0</v>
      </c>
      <c r="CE6" s="5">
        <f>BP6*BV6%+BQ6*BW6%+BR6*BX6%+BY6</f>
        <v>0</v>
      </c>
      <c r="CF6" s="3">
        <f ca="1">IFERROR(OFFSET($X6,0,MATCH(BT6,$Y$3:$AA$3,0)),0)+IF(BU6="心灵",$AB6,$X6)+IF(BU6="附着",$AC6,0)+IF(BU6="追击",$AD6,0)+CF$25+$W6+IF(BN$28,$AE$4,0)+CB11</f>
        <v>0.525</v>
      </c>
      <c r="CG6" s="3">
        <f>IF(BU6="DOT",50%,MIN($R6+CG$25+BZ11,1))</f>
        <v>0.2</v>
      </c>
      <c r="CH6" s="3">
        <f>$S6+CH$25+CA11</f>
        <v>0.8</v>
      </c>
      <c r="CI6" s="5">
        <f>1+CG6*CH6</f>
        <v>1.16</v>
      </c>
      <c r="CJ6" s="3">
        <f>1-$B$6+CJ$25+IF($C$6=$F6,$C$8,0)+$AG6+CD11</f>
        <v>0.8</v>
      </c>
      <c r="CK6" s="3">
        <f>IF(CJ6&lt;1,CJ6,(CJ6-1)*0.925+1)</f>
        <v>0.8</v>
      </c>
      <c r="CL6" s="3">
        <f>MIN($AF6+CL$25+CC11,1)</f>
        <v>0.25</v>
      </c>
      <c r="CM6" s="2">
        <f>IF(BU6="心灵",1,$B$4/($B$4+$C$4*(1-CL6)))</f>
        <v>0.568720379146919</v>
      </c>
      <c r="CN6" s="2" cm="1">
        <f t="array" ref="CN6">INDEX(动作!$I$3:$I$113,BO6)</f>
        <v>0</v>
      </c>
      <c r="CO6" s="6">
        <f ca="1">CE6*(1+CF6)*CI6*CK6*CM6*CF$28*(1+CM$25)</f>
        <v>0</v>
      </c>
      <c r="CP6" s="6">
        <f ca="1">CO6*BN$8</f>
        <v>0</v>
      </c>
      <c r="CQ6" s="2" cm="1">
        <f t="array" ref="CQ6">INDEX(云配队!$J6:$AC6,1,CQ$1)</f>
        <v>0</v>
      </c>
      <c r="CR6" s="2" cm="1">
        <f t="array" ref="CR6">IFERROR(MATCH(1,(动作!$A$3:$A$111=$D6)*EXACT(动作!$B$3:$B$111,CQ6),0),1)</f>
        <v>1</v>
      </c>
      <c r="CS6" s="2">
        <f>$I6*(1+$J6+CS$25)+$K6+CT$25</f>
        <v>1533.134375</v>
      </c>
      <c r="CT6" s="2">
        <f>$L6*(1+$M6+CU$25)+$N6+CV$25</f>
        <v>19501.6</v>
      </c>
      <c r="CU6" s="2">
        <f>$O6*(1+$P6+CW$25)+$Q6+CX$25</f>
        <v>3374.0868</v>
      </c>
      <c r="CV6" s="2">
        <f>$U6+CY$25</f>
        <v>0</v>
      </c>
      <c r="CW6" s="2" t="str" cm="1">
        <f t="array" ref="CW6">INDEX(动作!$C$3:$C$113,CR6)</f>
        <v>无</v>
      </c>
      <c r="CX6" s="2" cm="1">
        <f t="array" ref="CX6">INDEX(动作!$D$3:$D$113,CR6)</f>
        <v>0</v>
      </c>
      <c r="CY6" s="2" cm="1">
        <f t="array" ref="CY6">INDEX(动作!$E$3:$E$113,CR6)*$AH6</f>
        <v>0</v>
      </c>
      <c r="CZ6" s="2" cm="1">
        <f t="array" ref="CZ6">INDEX(动作!$F$3:$F$113,CR6)*$AH6</f>
        <v>0</v>
      </c>
      <c r="DA6" s="2" cm="1">
        <f t="array" ref="DA6">INDEX(动作!$G$3:$G$113,CR6)*$AH6</f>
        <v>0</v>
      </c>
      <c r="DB6" s="2" cm="1">
        <f t="array" ref="DB6">INDEX(动作!$H$3:$H$113,CR6)</f>
        <v>0</v>
      </c>
      <c r="DC6" s="2" cm="1">
        <f t="array" ref="DC6">INDEX(动作!$L$3:$L$113,CR6)*(1+CZ$25)*CQ$8</f>
        <v>0</v>
      </c>
      <c r="DD6" s="2" cm="1">
        <f t="array" ref="DD6">INDEX(动作!$K$3:$K$113,CR6)*CQ$8</f>
        <v>0</v>
      </c>
      <c r="DE6" s="2" cm="1">
        <f t="array" ref="DE6">INDEX(动作!$J$3:$J$113,CR6)*CQ$8</f>
        <v>0</v>
      </c>
      <c r="DF6" s="2" cm="1">
        <f t="array" ref="DF6">INDEX(动作!$N$3:$N$113,CR6)*CQ$8</f>
        <v>0</v>
      </c>
      <c r="DG6" s="5">
        <f>(SUM(DE$4:DE$7)*(0.6+DB$25)+DE6*(0.4-DB$25))*(1+$T6+DA$25)+DF6</f>
        <v>3.78</v>
      </c>
      <c r="DH6" s="5">
        <f>CS6*CY6%+CT6*CZ6%+CU6*DA6%+DB6</f>
        <v>0</v>
      </c>
      <c r="DI6" s="3">
        <f ca="1">IFERROR(OFFSET($X6,0,MATCH(CW6,$Y$3:$AA$3,0)),0)+IF(CX6="心灵",$AB6,$X6)+IF(CX6="附着",$AC6,0)+IF(CX6="追击",$AD6,0)+DI$25+$W6+IF(CQ$28,$AE$4,0)+DE11</f>
        <v>0.525</v>
      </c>
      <c r="DJ6" s="3">
        <f>IF(CX6="DOT",50%,MIN($R6+DJ$25+DC11,1))</f>
        <v>0.2</v>
      </c>
      <c r="DK6" s="3">
        <f>$S6+DK$25+DD11</f>
        <v>1.1</v>
      </c>
      <c r="DL6" s="5">
        <f>1+DJ6*DK6</f>
        <v>1.22</v>
      </c>
      <c r="DM6" s="3">
        <f>1-$B$6+DM$25+IF($C$6=$F6,$C$8,0)+$AG6+DG11</f>
        <v>0.8</v>
      </c>
      <c r="DN6" s="3">
        <f>IF(DM6&lt;1,DM6,(DM6-1)*0.925+1)</f>
        <v>0.8</v>
      </c>
      <c r="DO6" s="3">
        <f>MIN($AF6+DO$25+DF11,1)</f>
        <v>0</v>
      </c>
      <c r="DP6" s="2">
        <f>IF(CX6="心灵",1,$B$4/($B$4+$C$4*(1-DO6)))</f>
        <v>0.497237569060773</v>
      </c>
      <c r="DQ6" s="2" cm="1">
        <f t="array" ref="DQ6">INDEX(动作!$I$3:$I$113,CR6)</f>
        <v>0</v>
      </c>
      <c r="DR6" s="6">
        <f ca="1">DH6*(1+DI6)*DL6*DN6*DP6*DI$28*(1+DP$25)</f>
        <v>0</v>
      </c>
      <c r="DS6" s="6">
        <f ca="1">DR6*CQ$8</f>
        <v>0</v>
      </c>
      <c r="DT6" s="2" cm="1">
        <f t="array" ref="DT6">INDEX(云配队!$J6:$AC6,1,DT$1)</f>
        <v>0</v>
      </c>
      <c r="DU6" s="2" cm="1">
        <f t="array" ref="DU6">IFERROR(MATCH(1,(动作!$A$3:$A$111=$D6)*EXACT(动作!$B$3:$B$111,DT6),0),1)</f>
        <v>1</v>
      </c>
      <c r="DV6" s="2">
        <f>$I6*(1+$J6+DV$25)+$K6+DW$25</f>
        <v>1533.134375</v>
      </c>
      <c r="DW6" s="2">
        <f>$L6*(1+$M6+DX$25)+$N6+DY$25</f>
        <v>19501.6</v>
      </c>
      <c r="DX6" s="2">
        <f>$O6*(1+$P6+DZ$25)+$Q6+EA$25</f>
        <v>3374.0868</v>
      </c>
      <c r="DY6" s="2">
        <f>$U6+EB$25</f>
        <v>0</v>
      </c>
      <c r="DZ6" s="2" t="str" cm="1">
        <f t="array" ref="DZ6">INDEX(动作!$C$3:$C$113,DU6)</f>
        <v>无</v>
      </c>
      <c r="EA6" s="2" cm="1">
        <f t="array" ref="EA6">INDEX(动作!$D$3:$D$113,DU6)</f>
        <v>0</v>
      </c>
      <c r="EB6" s="2" cm="1">
        <f t="array" ref="EB6">INDEX(动作!$E$3:$E$113,DU6)*$AH6</f>
        <v>0</v>
      </c>
      <c r="EC6" s="2" cm="1">
        <f t="array" ref="EC6">INDEX(动作!$F$3:$F$113,DU6)*$AH6</f>
        <v>0</v>
      </c>
      <c r="ED6" s="2" cm="1">
        <f t="array" ref="ED6">INDEX(动作!$G$3:$G$113,DU6)*$AH6</f>
        <v>0</v>
      </c>
      <c r="EE6" s="2" cm="1">
        <f t="array" ref="EE6">INDEX(动作!$H$3:$H$113,DU6)</f>
        <v>0</v>
      </c>
      <c r="EF6" s="2" cm="1">
        <f t="array" ref="EF6">INDEX(动作!$L$3:$L$113,DU6)*(1+EC$25)*DT$8</f>
        <v>0</v>
      </c>
      <c r="EG6" s="2" cm="1">
        <f t="array" ref="EG6">INDEX(动作!$K$3:$K$113,DU6)*DT$8</f>
        <v>0</v>
      </c>
      <c r="EH6" s="2" cm="1">
        <f t="array" ref="EH6">INDEX(动作!$J$3:$J$113,DU6)*DT$8</f>
        <v>0</v>
      </c>
      <c r="EI6" s="2" cm="1">
        <f t="array" ref="EI6">INDEX(动作!$N$3:$N$113,DU6)*DT$8</f>
        <v>0</v>
      </c>
      <c r="EJ6" s="5">
        <f>(SUM(EH$4:EH$7)*(0.6+EE$25)+EH6*(0.4-EE$25))*(1+$T6+ED$25)+EI6</f>
        <v>0</v>
      </c>
      <c r="EK6" s="5">
        <f>DV6*EB6%+DW6*EC6%+DX6*ED6%+EE6</f>
        <v>0</v>
      </c>
      <c r="EL6" s="3">
        <f ca="1">IFERROR(OFFSET($X6,0,MATCH(DZ6,$Y$3:$AA$3,0)),0)+IF(EA6="心灵",$AB6,$X6)+IF(EA6="附着",$AC6,0)+IF(EA6="追击",$AD6,0)+EL$25+$W6+IF(DT$28,$AE$4,0)+EH11</f>
        <v>0.625</v>
      </c>
      <c r="EM6" s="3">
        <f>IF(EA6="DOT",50%,MIN($R6+EM$25+EF11,1))</f>
        <v>0.2</v>
      </c>
      <c r="EN6" s="3">
        <f>$S6+EN$25+EG11</f>
        <v>1.1</v>
      </c>
      <c r="EO6" s="5">
        <f>1+EM6*EN6</f>
        <v>1.22</v>
      </c>
      <c r="EP6" s="3">
        <f>1-$B$6+EP$25+IF($C$6=$F6,$C$8,0)+$AG6+EJ11</f>
        <v>0.8</v>
      </c>
      <c r="EQ6" s="3">
        <f>IF(EP6&lt;1,EP6,(EP6-1)*0.925+1)</f>
        <v>0.8</v>
      </c>
      <c r="ER6" s="3">
        <f>MIN($AF6+ER$25+EI11,1)</f>
        <v>0</v>
      </c>
      <c r="ES6" s="2">
        <f>IF(EA6="心灵",1,$B$4/($B$4+$C$4*(1-ER6)))</f>
        <v>0.497237569060773</v>
      </c>
      <c r="ET6" s="2" cm="1">
        <f t="array" ref="ET6">INDEX(动作!$I$3:$I$113,DU6)</f>
        <v>0</v>
      </c>
      <c r="EU6" s="6">
        <f ca="1">EK6*(1+EL6)*EO6*EQ6*ES6*EL$28*(1+ES$25)</f>
        <v>0</v>
      </c>
      <c r="EV6" s="6">
        <f ca="1">EU6*DT$8</f>
        <v>0</v>
      </c>
      <c r="EW6" s="2" cm="1">
        <f t="array" ref="EW6">INDEX(云配队!$J6:$AC6,1,EW$1)</f>
        <v>0</v>
      </c>
      <c r="EX6" s="2" cm="1">
        <f t="array" ref="EX6">IFERROR(MATCH(1,(动作!$A$3:$A$111=$D6)*EXACT(动作!$B$3:$B$111,EW6),0),1)</f>
        <v>1</v>
      </c>
      <c r="EY6" s="2">
        <f>$I6*(1+$J6+EY$25)+$K6+EZ$25</f>
        <v>1533.134375</v>
      </c>
      <c r="EZ6" s="2">
        <f>$L6*(1+$M6+FA$25)+$N6+FB$25</f>
        <v>19501.6</v>
      </c>
      <c r="FA6" s="2">
        <f>$O6*(1+$P6+FC$25)+$Q6+FD$25</f>
        <v>3374.0868</v>
      </c>
      <c r="FB6" s="2">
        <f>$U6+FE$25</f>
        <v>0</v>
      </c>
      <c r="FC6" s="2" t="str" cm="1">
        <f t="array" ref="FC6">INDEX(动作!$C$3:$C$113,EX6)</f>
        <v>无</v>
      </c>
      <c r="FD6" s="2" cm="1">
        <f t="array" ref="FD6">INDEX(动作!$D$3:$D$113,EX6)</f>
        <v>0</v>
      </c>
      <c r="FE6" s="2" cm="1">
        <f t="array" ref="FE6">INDEX(动作!$E$3:$E$113,EX6)*$AH6</f>
        <v>0</v>
      </c>
      <c r="FF6" s="2" cm="1">
        <f t="array" ref="FF6">INDEX(动作!$F$3:$F$113,EX6)*$AH6</f>
        <v>0</v>
      </c>
      <c r="FG6" s="2" cm="1">
        <f t="array" ref="FG6">INDEX(动作!$G$3:$G$113,EX6)*$AH6</f>
        <v>0</v>
      </c>
      <c r="FH6" s="2" cm="1">
        <f t="array" ref="FH6">INDEX(动作!$H$3:$H$113,EX6)</f>
        <v>0</v>
      </c>
      <c r="FI6" s="2" cm="1">
        <f t="array" ref="FI6">INDEX(动作!$L$3:$L$113,EX6)*(1+FF$25)*EW$8</f>
        <v>0</v>
      </c>
      <c r="FJ6" s="2" cm="1">
        <f t="array" ref="FJ6">INDEX(动作!$K$3:$K$113,EX6)*EW$8</f>
        <v>0</v>
      </c>
      <c r="FK6" s="2" cm="1">
        <f t="array" ref="FK6">INDEX(动作!$J$3:$J$113,EX6)*EW$8</f>
        <v>0</v>
      </c>
      <c r="FL6" s="2" cm="1">
        <f t="array" ref="FL6">INDEX(动作!$N$3:$N$113,EX6)*EW$8</f>
        <v>0</v>
      </c>
      <c r="FM6" s="5">
        <f>(SUM(FK$4:FK$7)*(0.6+FH$25)+FK6*(0.4-FH$25))*(1+$T6+FG$25)+FL6</f>
        <v>19.9188</v>
      </c>
      <c r="FN6" s="5">
        <f>EY6*FE6%+EZ6*FF6%+FA6*FG6%+FH6</f>
        <v>0</v>
      </c>
      <c r="FO6" s="3">
        <f ca="1">IFERROR(OFFSET($X6,0,MATCH(FC6,$Y$3:$AA$3,0)),0)+IF(FD6="心灵",$AB6,$X6)+IF(FD6="附着",$AC6,0)+IF(FD6="追击",$AD6,0)+FO$25+$W6+IF(EW$28,$AE$4,0)+FK11</f>
        <v>0.7125</v>
      </c>
      <c r="FP6" s="3">
        <f>IF(FD6="DOT",50%,MIN($R6+FP$25+FI11,1))</f>
        <v>0.2</v>
      </c>
      <c r="FQ6" s="3">
        <f>$S6+FQ$25+FJ11</f>
        <v>1.1</v>
      </c>
      <c r="FR6" s="5">
        <f>1+FP6*FQ6</f>
        <v>1.22</v>
      </c>
      <c r="FS6" s="3">
        <f>1-$B$6+FS$25+IF($C$6=$F6,$C$8,0)+$AG6+FM11</f>
        <v>0.8</v>
      </c>
      <c r="FT6" s="3">
        <f>IF(FS6&lt;1,FS6,(FS6-1)*0.925+1)</f>
        <v>0.8</v>
      </c>
      <c r="FU6" s="3">
        <f>MIN($AF6+FU$25+FL11,1)</f>
        <v>0</v>
      </c>
      <c r="FV6" s="2">
        <f>IF(FD6="心灵",1,$B$4/($B$4+$C$4*(1-FU6)))</f>
        <v>0.497237569060773</v>
      </c>
      <c r="FW6" s="2" cm="1">
        <f t="array" ref="FW6">INDEX(动作!$I$3:$I$113,EX6)</f>
        <v>0</v>
      </c>
      <c r="FX6" s="6">
        <f ca="1">FN6*(1+FO6)*FR6*FT6*FV6*FO$28*(1+FV$25)</f>
        <v>0</v>
      </c>
      <c r="FY6" s="6">
        <f ca="1">FX6*EW$8</f>
        <v>0</v>
      </c>
      <c r="FZ6" s="2" cm="1">
        <f t="array" ref="FZ6">INDEX(云配队!$J6:$AC6,1,FZ$1)</f>
        <v>0</v>
      </c>
      <c r="GA6" s="2" cm="1">
        <f t="array" ref="GA6">IFERROR(MATCH(1,(动作!$A$3:$A$111=$D6)*EXACT(动作!$B$3:$B$111,FZ6),0),1)</f>
        <v>1</v>
      </c>
      <c r="GB6" s="2">
        <f>$I6*(1+$J6+GB$25)+$K6+GC$25</f>
        <v>1533.134375</v>
      </c>
      <c r="GC6" s="2">
        <f>$L6*(1+$M6+GD$25)+$N6+GE$25</f>
        <v>19501.6</v>
      </c>
      <c r="GD6" s="2">
        <f>$O6*(1+$P6+GF$25)+$Q6+GG$25</f>
        <v>3374.0868</v>
      </c>
      <c r="GE6" s="2">
        <f>$U6+GH$25</f>
        <v>0</v>
      </c>
      <c r="GF6" s="2" t="str" cm="1">
        <f t="array" ref="GF6">INDEX(动作!$C$3:$C$113,GA6)</f>
        <v>无</v>
      </c>
      <c r="GG6" s="2" cm="1">
        <f t="array" ref="GG6">INDEX(动作!$D$3:$D$113,GA6)</f>
        <v>0</v>
      </c>
      <c r="GH6" s="2" cm="1">
        <f t="array" ref="GH6">INDEX(动作!$E$3:$E$113,GA6)*$AH6</f>
        <v>0</v>
      </c>
      <c r="GI6" s="2" cm="1">
        <f t="array" ref="GI6">INDEX(动作!$F$3:$F$113,GA6)*$AH6</f>
        <v>0</v>
      </c>
      <c r="GJ6" s="2" cm="1">
        <f t="array" ref="GJ6">INDEX(动作!$G$3:$G$113,GA6)*$AH6</f>
        <v>0</v>
      </c>
      <c r="GK6" s="2" cm="1">
        <f t="array" ref="GK6">INDEX(动作!$H$3:$H$113,GA6)</f>
        <v>0</v>
      </c>
      <c r="GL6" s="2" cm="1">
        <f t="array" ref="GL6">INDEX(动作!$L$3:$L$113,GA6)*(1+GI$25)*FZ$8</f>
        <v>0</v>
      </c>
      <c r="GM6" s="2" cm="1">
        <f t="array" ref="GM6">INDEX(动作!$K$3:$K$113,GA6)*FZ$8</f>
        <v>0</v>
      </c>
      <c r="GN6" s="2" cm="1">
        <f t="array" ref="GN6">INDEX(动作!$J$3:$J$113,GA6)*FZ$8</f>
        <v>0</v>
      </c>
      <c r="GO6" s="2" cm="1">
        <f t="array" ref="GO6">INDEX(动作!$N$3:$N$113,GA6)*FZ$8</f>
        <v>0</v>
      </c>
      <c r="GP6" s="5">
        <f>(SUM(GN$4:GN$7)*(0.6+GK$25)+GN6*(0.4-GK$25))*(1+$T6+GJ$25)+GO6</f>
        <v>0</v>
      </c>
      <c r="GQ6" s="5">
        <f>GB6*GH6%+GC6*GI6%+GD6*GJ6%+GK6</f>
        <v>0</v>
      </c>
      <c r="GR6" s="3">
        <f ca="1">IFERROR(OFFSET($X6,0,MATCH(GF6,$Y$3:$AA$3,0)),0)+IF(GG6="心灵",$AB6,$X6)+IF(GG6="附着",$AC6,0)+IF(GG6="追击",$AD6,0)+GR$25+$W6+IF(FZ$28,$AE$4,0)+GN11</f>
        <v>0.775</v>
      </c>
      <c r="GS6" s="3">
        <f>IF(GG6="DOT",50%,MIN($R6+GS$25+GL11,1))</f>
        <v>0.2</v>
      </c>
      <c r="GT6" s="3">
        <f>$S6+GT$25+GM11</f>
        <v>1.1</v>
      </c>
      <c r="GU6" s="5">
        <f>1+GS6*GT6</f>
        <v>1.22</v>
      </c>
      <c r="GV6" s="3">
        <f>1-$B$6+GV$25+IF($C$6=$F6,$C$8,0)+$AG6+GP11</f>
        <v>0.8</v>
      </c>
      <c r="GW6" s="3">
        <f>IF(GV6&lt;1,GV6,(GV6-1)*0.925+1)</f>
        <v>0.8</v>
      </c>
      <c r="GX6" s="3">
        <f>MIN($AF6+GX$25+GO11,1)</f>
        <v>0</v>
      </c>
      <c r="GY6" s="2">
        <f>IF(GG6="心灵",1,$B$4/($B$4+$C$4*(1-GX6)))</f>
        <v>0.497237569060773</v>
      </c>
      <c r="GZ6" s="2" cm="1">
        <f t="array" ref="GZ6">INDEX(动作!$I$3:$I$113,GA6)</f>
        <v>0</v>
      </c>
      <c r="HA6" s="6">
        <f ca="1">GQ6*(1+GR6)*GU6*GW6*GY6*GR$28*(1+GY$25)</f>
        <v>0</v>
      </c>
      <c r="HB6" s="6">
        <f ca="1">HA6*FZ$8</f>
        <v>0</v>
      </c>
      <c r="HC6" s="2" cm="1">
        <f t="array" ref="HC6">INDEX(云配队!$J6:$AC6,1,HC$1)</f>
        <v>0</v>
      </c>
      <c r="HD6" s="2" cm="1">
        <f t="array" ref="HD6">IFERROR(MATCH(1,(动作!$A$3:$A$111=$D6)*EXACT(动作!$B$3:$B$111,HC6),0),1)</f>
        <v>1</v>
      </c>
      <c r="HE6" s="2">
        <f>$I6*(1+$J6+HE$25)+$K6+HF$25</f>
        <v>1533.134375</v>
      </c>
      <c r="HF6" s="2">
        <f>$L6*(1+$M6+HG$25)+$N6+HH$25</f>
        <v>19501.6</v>
      </c>
      <c r="HG6" s="2">
        <f>$O6*(1+$P6+HI$25)+$Q6+HJ$25</f>
        <v>3374.0868</v>
      </c>
      <c r="HH6" s="2">
        <f>$U6+HK$25</f>
        <v>0</v>
      </c>
      <c r="HI6" s="2" t="str" cm="1">
        <f t="array" ref="HI6">INDEX(动作!$C$3:$C$113,HD6)</f>
        <v>无</v>
      </c>
      <c r="HJ6" s="2" cm="1">
        <f t="array" ref="HJ6">INDEX(动作!$D$3:$D$113,HD6)</f>
        <v>0</v>
      </c>
      <c r="HK6" s="2" cm="1">
        <f t="array" ref="HK6">INDEX(动作!$E$3:$E$113,HD6)*$AH6</f>
        <v>0</v>
      </c>
      <c r="HL6" s="2" cm="1">
        <f t="array" ref="HL6">INDEX(动作!$F$3:$F$113,HD6)*$AH6</f>
        <v>0</v>
      </c>
      <c r="HM6" s="2" cm="1">
        <f t="array" ref="HM6">INDEX(动作!$G$3:$G$113,HD6)*$AH6</f>
        <v>0</v>
      </c>
      <c r="HN6" s="2" cm="1">
        <f t="array" ref="HN6">INDEX(动作!$H$3:$H$113,HD6)</f>
        <v>0</v>
      </c>
      <c r="HO6" s="2" cm="1">
        <f t="array" ref="HO6">INDEX(动作!$L$3:$L$113,HD6)*(1+HL$25)*HC$8</f>
        <v>0</v>
      </c>
      <c r="HP6" s="2" cm="1">
        <f t="array" ref="HP6">INDEX(动作!$K$3:$K$113,HD6)*HC$8</f>
        <v>0</v>
      </c>
      <c r="HQ6" s="2" cm="1">
        <f t="array" ref="HQ6">INDEX(动作!$J$3:$J$113,HD6)*HC$8</f>
        <v>0</v>
      </c>
      <c r="HR6" s="2" cm="1">
        <f t="array" ref="HR6">INDEX(动作!$N$3:$N$113,HD6)*HC$8</f>
        <v>0</v>
      </c>
      <c r="HS6" s="5">
        <f>(SUM(HQ$4:HQ$7)*(0.6+HN$25)+HQ6*(0.4-HN$25))*(1+$T6+HM$25)+HR6</f>
        <v>7.56</v>
      </c>
      <c r="HT6" s="5">
        <f>HE6*HK6%+HF6*HL6%+HG6*HM6%+HN6</f>
        <v>0</v>
      </c>
      <c r="HU6" s="3">
        <f ca="1">IFERROR(OFFSET($X6,0,MATCH(HI6,$Y$3:$AA$3,0)),0)+IF(HJ6="心灵",$AB6,$X6)+IF(HJ6="附着",$AC6,0)+IF(HJ6="追击",$AD6,0)+HU$25+$W6+IF(HC$28,$AE$4,0)+HQ11</f>
        <v>0.6</v>
      </c>
      <c r="HV6" s="3">
        <f>IF(HJ6="DOT",50%,MIN($R6+HV$25+HO11,1))</f>
        <v>0.2</v>
      </c>
      <c r="HW6" s="3">
        <f>$S6+HW$25+HP11</f>
        <v>1.1</v>
      </c>
      <c r="HX6" s="5">
        <f>1+HV6*HW6</f>
        <v>1.22</v>
      </c>
      <c r="HY6" s="3">
        <f>1-$B$6+HY$25+IF($C$6=$F6,$C$8,0)+$AG6+HS11</f>
        <v>0.8</v>
      </c>
      <c r="HZ6" s="3">
        <f>IF(HY6&lt;1,HY6,(HY6-1)*0.925+1)</f>
        <v>0.8</v>
      </c>
      <c r="IA6" s="3">
        <f>MIN($AF6+IA$25+HR11,1)</f>
        <v>0</v>
      </c>
      <c r="IB6" s="2">
        <f>IF(HJ6="心灵",1,$B$4/($B$4+$C$4*(1-IA6)))</f>
        <v>0.497237569060773</v>
      </c>
      <c r="IC6" s="2" cm="1">
        <f t="array" ref="IC6">INDEX(动作!$I$3:$I$113,HD6)</f>
        <v>0</v>
      </c>
      <c r="ID6" s="6">
        <f ca="1">HT6*(1+HU6)*HX6*HZ6*IB6*HU$28*(1+IB$25)</f>
        <v>0</v>
      </c>
      <c r="IE6" s="6">
        <f ca="1">ID6*HC$8</f>
        <v>0</v>
      </c>
      <c r="IF6" s="2" cm="1">
        <f t="array" ref="IF6">INDEX(云配队!$J6:$AC6,1,IF$1)</f>
        <v>0</v>
      </c>
      <c r="IG6" s="2" cm="1">
        <f t="array" ref="IG6">IFERROR(MATCH(1,(动作!$A$3:$A$111=$D6)*EXACT(动作!$B$3:$B$111,IF6),0),1)</f>
        <v>1</v>
      </c>
      <c r="IH6" s="2">
        <f>$I6*(1+$J6+IH$25)+$K6+II$25</f>
        <v>1533.134375</v>
      </c>
      <c r="II6" s="2">
        <f>$L6*(1+$M6+IJ$25)+$N6+IK$25</f>
        <v>19501.6</v>
      </c>
      <c r="IJ6" s="2">
        <f>$O6*(1+$P6+IL$25)+$Q6+IM$25</f>
        <v>3374.0868</v>
      </c>
      <c r="IK6" s="2">
        <f>$U6+IN$25</f>
        <v>0</v>
      </c>
      <c r="IL6" s="2" t="str" cm="1">
        <f t="array" ref="IL6">INDEX(动作!$C$3:$C$113,IG6)</f>
        <v>无</v>
      </c>
      <c r="IM6" s="2" cm="1">
        <f t="array" ref="IM6">INDEX(动作!$D$3:$D$113,IG6)</f>
        <v>0</v>
      </c>
      <c r="IN6" s="2" cm="1">
        <f t="array" ref="IN6">INDEX(动作!$E$3:$E$113,IG6)*$AH6</f>
        <v>0</v>
      </c>
      <c r="IO6" s="2" cm="1">
        <f t="array" ref="IO6">INDEX(动作!$F$3:$F$113,IG6)*$AH6</f>
        <v>0</v>
      </c>
      <c r="IP6" s="2" cm="1">
        <f t="array" ref="IP6">INDEX(动作!$G$3:$G$113,IG6)*$AH6</f>
        <v>0</v>
      </c>
      <c r="IQ6" s="2" cm="1">
        <f t="array" ref="IQ6">INDEX(动作!$H$3:$H$113,IG6)</f>
        <v>0</v>
      </c>
      <c r="IR6" s="2" cm="1">
        <f t="array" ref="IR6">INDEX(动作!$L$3:$L$113,IG6)*(1+IO$25)*IF$8</f>
        <v>0</v>
      </c>
      <c r="IS6" s="2" cm="1">
        <f t="array" ref="IS6">INDEX(动作!$K$3:$K$113,IG6)*IF$8</f>
        <v>0</v>
      </c>
      <c r="IT6" s="2" cm="1">
        <f t="array" ref="IT6">INDEX(动作!$J$3:$J$113,IG6)*IF$8</f>
        <v>0</v>
      </c>
      <c r="IU6" s="2" cm="1">
        <f t="array" ref="IU6">INDEX(动作!$N$3:$N$113,IG6)*IF$8</f>
        <v>0</v>
      </c>
      <c r="IV6" s="5">
        <f>(SUM(IT$4:IT$7)*(0.6+IQ$25)+IT6*(0.4-IQ$25))*(1+$T6+IP$25)+IU6</f>
        <v>0</v>
      </c>
      <c r="IW6" s="5">
        <f>IH6*IN6%+II6*IO6%+IJ6*IP6%+IQ6</f>
        <v>0</v>
      </c>
      <c r="IX6" s="3">
        <f ca="1">IFERROR(OFFSET($X6,0,MATCH(IL6,$Y$3:$AA$3,0)),0)+IF(IM6="心灵",$AB6,$X6)+IF(IM6="附着",$AC6,0)+IF(IM6="追击",$AD6,0)+IX$25+$W6+IF(IF$28,$AE$4,0)+IT11</f>
        <v>0.775</v>
      </c>
      <c r="IY6" s="3">
        <f>IF(IM6="DOT",50%,MIN($R6+IY$25+IR11,1))</f>
        <v>0.2</v>
      </c>
      <c r="IZ6" s="3">
        <f>$S6+IZ$25+IS11</f>
        <v>1.1</v>
      </c>
      <c r="JA6" s="5">
        <f>1+IY6*IZ6</f>
        <v>1.22</v>
      </c>
      <c r="JB6" s="3">
        <f>1-$B$6+JB$25+IF($C$6=$F6,$C$8,0)+$AG6+IV11</f>
        <v>0.8</v>
      </c>
      <c r="JC6" s="3">
        <f>IF(JB6&lt;1,JB6,(JB6-1)*0.925+1)</f>
        <v>0.8</v>
      </c>
      <c r="JD6" s="3">
        <f>MIN($AF6+JD$25+IU11,1)</f>
        <v>0</v>
      </c>
      <c r="JE6" s="2">
        <f>IF(IM6="心灵",1,$B$4/($B$4+$C$4*(1-JD6)))</f>
        <v>0.497237569060773</v>
      </c>
      <c r="JF6" s="2" cm="1">
        <f t="array" ref="JF6">INDEX(动作!$I$3:$I$113,IG6)</f>
        <v>0</v>
      </c>
      <c r="JG6" s="6">
        <f ca="1">IW6*(1+IX6)*JA6*JC6*JE6*IX$28*(1+JE$25)</f>
        <v>0</v>
      </c>
      <c r="JH6" s="6">
        <f ca="1">JG6*IF$8</f>
        <v>0</v>
      </c>
      <c r="JI6" s="2" t="str" cm="1">
        <f t="array" ref="JI6">INDEX(云配队!$J6:$AC6,1,JI$1)</f>
        <v>q</v>
      </c>
      <c r="JJ6" s="2" cm="1">
        <f t="array" ref="JJ6">IFERROR(MATCH(1,(动作!$A$3:$A$111=$D6)*EXACT(动作!$B$3:$B$111,JI6),0),1)</f>
        <v>74</v>
      </c>
      <c r="JK6" s="2">
        <f>$I6*(1+$J6+JK$25)+$K6+JL$25</f>
        <v>1533.134375</v>
      </c>
      <c r="JL6" s="2">
        <f>$L6*(1+$M6+JM$25)+$N6+JN$25</f>
        <v>19501.6</v>
      </c>
      <c r="JM6" s="2">
        <f>$O6*(1+$P6+JO$25)+$Q6+JP$25</f>
        <v>3374.0868</v>
      </c>
      <c r="JN6" s="2">
        <f>$U6+JQ$25</f>
        <v>0</v>
      </c>
      <c r="JO6" s="2" t="str" cm="1">
        <f t="array" ref="JO6">INDEX(动作!$C$3:$C$113,JJ6)</f>
        <v>Q</v>
      </c>
      <c r="JP6" s="2" cm="1">
        <f t="array" ref="JP6">INDEX(动作!$D$3:$D$113,JJ6)</f>
        <v>0</v>
      </c>
      <c r="JQ6" s="2" cm="1">
        <f t="array" ref="JQ6">INDEX(动作!$E$3:$E$113,JJ6)*$AH6</f>
        <v>0</v>
      </c>
      <c r="JR6" s="2" cm="1">
        <f t="array" ref="JR6">INDEX(动作!$F$3:$F$113,JJ6)*$AH6</f>
        <v>0</v>
      </c>
      <c r="JS6" s="2" cm="1">
        <f t="array" ref="JS6">INDEX(动作!$G$3:$G$113,JJ6)*$AH6</f>
        <v>1079.46249863639</v>
      </c>
      <c r="JT6" s="2" cm="1">
        <f t="array" ref="JT6">INDEX(动作!$H$3:$H$113,JJ6)</f>
        <v>0</v>
      </c>
      <c r="JU6" s="2" cm="1">
        <f t="array" ref="JU6">INDEX(动作!$L$3:$L$113,JJ6)*(1+JR$25)*JI$8</f>
        <v>6.25</v>
      </c>
      <c r="JV6" s="2" cm="1">
        <f t="array" ref="JV6">INDEX(动作!$K$3:$K$113,JJ6)*JI$8</f>
        <v>0</v>
      </c>
      <c r="JW6" s="2" cm="1">
        <f t="array" ref="JW6">INDEX(动作!$J$3:$J$113,JJ6)*JI$8</f>
        <v>0</v>
      </c>
      <c r="JX6" s="2" cm="1">
        <f t="array" ref="JX6">INDEX(动作!$N$3:$N$113,JJ6)*JI$8</f>
        <v>10</v>
      </c>
      <c r="JY6" s="5">
        <f>(SUM(JW$4:JW$7)*(0.6+JT$25)+JW6*(0.4-JT$25))*(1+$T6+JS$25)+JX6</f>
        <v>10</v>
      </c>
      <c r="JZ6" s="5">
        <f>JK6*JQ6%+JL6*JR6%+JM6*JS6%+JT6</f>
        <v>36422.0016774407</v>
      </c>
      <c r="KA6" s="3">
        <f ca="1">IFERROR(OFFSET($X6,0,MATCH(JO6,$Y$3:$AA$3,0)),0)+IF(JP6="心灵",$AB6,$X6)+IF(JP6="附着",$AC6,0)+IF(JP6="追击",$AD6,0)+KA$25+$W6+IF(JI$28,$AE$4,0)+JW11</f>
        <v>0.525</v>
      </c>
      <c r="KB6" s="3">
        <f>IF(JP6="DOT",50%,MIN($R6+KB$25+JU11,1))</f>
        <v>0.2</v>
      </c>
      <c r="KC6" s="3">
        <f>$S6+KC$25+JV11</f>
        <v>0.8</v>
      </c>
      <c r="KD6" s="5">
        <f>1+KB6*KC6</f>
        <v>1.16</v>
      </c>
      <c r="KE6" s="3">
        <f>1-$B$6+KE$25+IF($C$6=$F6,$C$8,0)+$AG6+JY11</f>
        <v>0.8</v>
      </c>
      <c r="KF6" s="3">
        <f>IF(KE6&lt;1,KE6,(KE6-1)*0.925+1)</f>
        <v>0.8</v>
      </c>
      <c r="KG6" s="3">
        <f>MIN($AF6+KG$25+JX11,1)</f>
        <v>0</v>
      </c>
      <c r="KH6" s="2">
        <f>IF(JP6="心灵",1,$B$4/($B$4+$C$4*(1-KG6)))</f>
        <v>0.497237569060773</v>
      </c>
      <c r="KI6" s="2" cm="1">
        <f t="array" ref="KI6">INDEX(动作!$I$3:$I$113,JJ6)</f>
        <v>0</v>
      </c>
      <c r="KJ6" s="6">
        <f ca="1">JZ6*(1+KA6)*KD6*KF6*KH6*KA$28*(1+KH$25)</f>
        <v>25629.8204953164</v>
      </c>
      <c r="KK6" s="6">
        <f ca="1">KJ6*JI$8</f>
        <v>12814.9102476582</v>
      </c>
      <c r="KL6" s="2" t="str" cm="1">
        <f t="array" ref="KL6">INDEX(云配队!$J6:$AC6,1,KL$1)</f>
        <v>dot10跳</v>
      </c>
      <c r="KM6" s="2" cm="1">
        <f t="array" ref="KM6">IFERROR(MATCH(1,(动作!$A$3:$A$111=$D6)*EXACT(动作!$B$3:$B$111,KL6),0),1)</f>
        <v>73</v>
      </c>
      <c r="KN6" s="2">
        <f>$I6*(1+$J6+KN$25)+$K6+KO$25</f>
        <v>1533.134375</v>
      </c>
      <c r="KO6" s="2">
        <f>$L6*(1+$M6+KP$25)+$N6+KQ$25</f>
        <v>19501.6</v>
      </c>
      <c r="KP6" s="2">
        <f>$O6*(1+$P6+KR$25)+$Q6+KS$25</f>
        <v>3374.0868</v>
      </c>
      <c r="KQ6" s="2">
        <f>$U6+KT$25</f>
        <v>0</v>
      </c>
      <c r="KR6" s="2" t="str" cm="1">
        <f t="array" ref="KR6">INDEX(动作!$C$3:$C$113,KM6)</f>
        <v>E</v>
      </c>
      <c r="KS6" s="2" t="str" cm="1">
        <f t="array" ref="KS6">INDEX(动作!$D$3:$D$113,KM6)</f>
        <v>DOT</v>
      </c>
      <c r="KT6" s="2" cm="1">
        <f t="array" ref="KT6">INDEX(动作!$E$3:$E$113,KM6)*$AH6</f>
        <v>0</v>
      </c>
      <c r="KU6" s="2" cm="1">
        <f t="array" ref="KU6">INDEX(动作!$F$3:$F$113,KM6)*$AH6</f>
        <v>0</v>
      </c>
      <c r="KV6" s="2" cm="1">
        <f t="array" ref="KV6">INDEX(动作!$G$3:$G$113,KM6)*$AH6</f>
        <v>431.784999454558</v>
      </c>
      <c r="KW6" s="2" cm="1">
        <f t="array" ref="KW6">INDEX(动作!$H$3:$H$113,KM6)</f>
        <v>0</v>
      </c>
      <c r="KX6" s="2" cm="1">
        <f t="array" ref="KX6">INDEX(动作!$L$3:$L$113,KM6)*(1+KU$25)*KL$8</f>
        <v>0</v>
      </c>
      <c r="KY6" s="2" cm="1">
        <f t="array" ref="KY6">INDEX(动作!$K$3:$K$113,KM6)*KL$8</f>
        <v>0</v>
      </c>
      <c r="KZ6" s="2" cm="1">
        <f t="array" ref="KZ6">INDEX(动作!$J$3:$J$113,KM6)*KL$8</f>
        <v>0</v>
      </c>
      <c r="LA6" s="2" cm="1">
        <f t="array" ref="LA6">INDEX(动作!$N$3:$N$113,KM6)*KL$8</f>
        <v>0</v>
      </c>
      <c r="LB6" s="5">
        <f>(SUM(KZ$4:KZ$7)*(0.6+KW$25)+KZ6*(0.4-KW$25))*(1+$T6+KV$25)+LA6</f>
        <v>0</v>
      </c>
      <c r="LC6" s="5">
        <f>KN6*KT6%+KO6*KU6%+KP6*KV6%+KW6</f>
        <v>14568.8006709763</v>
      </c>
      <c r="LD6" s="3">
        <f ca="1">IFERROR(OFFSET($X6,0,MATCH(KR6,$Y$3:$AA$3,0)),0)+IF(KS6="心灵",$AB6,$X6)+IF(KS6="附着",$AC6,0)+IF(KS6="追击",$AD6,0)+LD$25+$W6+IF(KL$28,$AE$4,0)+KZ11</f>
        <v>1.225</v>
      </c>
      <c r="LE6" s="3">
        <f>IF(KS6="DOT",50%,MIN($R6+LE$25+KX11,1))</f>
        <v>0.5</v>
      </c>
      <c r="LF6" s="3">
        <f>$S6+LF$25+KY11</f>
        <v>0.8</v>
      </c>
      <c r="LG6" s="5">
        <f>1+LE6*LF6</f>
        <v>1.4</v>
      </c>
      <c r="LH6" s="3">
        <f>1-$B$6+LH$25+IF($C$6=$F6,$C$8,0)+$AG6+LB11</f>
        <v>0.8</v>
      </c>
      <c r="LI6" s="3">
        <f>IF(LH6&lt;1,LH6,(LH6-1)*0.925+1)</f>
        <v>0.8</v>
      </c>
      <c r="LJ6" s="3">
        <f>MIN($AF6+LJ$25+LA11,1)</f>
        <v>0</v>
      </c>
      <c r="LK6" s="2">
        <f>IF(KS6="心灵",1,$B$4/($B$4+$C$4*(1-LJ6)))</f>
        <v>0.497237569060773</v>
      </c>
      <c r="LL6" s="2" cm="1">
        <f t="array" ref="LL6">INDEX(动作!$I$3:$I$113,KM6)</f>
        <v>0</v>
      </c>
      <c r="LM6" s="6">
        <f ca="1">LC6*(1+LD6)*LG6*LI6*LK6*LD$28*(1+LK$25)</f>
        <v>18052.4343341799</v>
      </c>
      <c r="LN6" s="6">
        <f ca="1">LM6*KL$8</f>
        <v>9026.21716708995</v>
      </c>
      <c r="LO6" s="2" t="str" cm="1">
        <f t="array" ref="LO6">INDEX(云配队!$J6:$AC6,1,LO$1)</f>
        <v>e</v>
      </c>
      <c r="LP6" s="2" cm="1">
        <f t="array" ref="LP6">IFERROR(MATCH(1,(动作!$A$3:$A$111=$D6)*EXACT(动作!$B$3:$B$111,LO6),0),1)</f>
        <v>72</v>
      </c>
      <c r="LQ6" s="2">
        <f>$I6*(1+$J6+LQ$25)+$K6+LR$25</f>
        <v>1533.134375</v>
      </c>
      <c r="LR6" s="2">
        <f>$L6*(1+$M6+LS$25)+$N6+LT$25</f>
        <v>19501.6</v>
      </c>
      <c r="LS6" s="2">
        <f>$O6*(1+$P6+LU$25)+$Q6+LV$25</f>
        <v>3374.0868</v>
      </c>
      <c r="LT6" s="2">
        <f>$U6+LW$25</f>
        <v>0</v>
      </c>
      <c r="LU6" s="2" t="str" cm="1">
        <f t="array" ref="LU6">INDEX(动作!$C$3:$C$113,LP6)</f>
        <v>E</v>
      </c>
      <c r="LV6" s="2" cm="1">
        <f t="array" ref="LV6">INDEX(动作!$D$3:$D$113,LP6)</f>
        <v>0</v>
      </c>
      <c r="LW6" s="2" cm="1">
        <f t="array" ref="LW6">INDEX(动作!$E$3:$E$113,LP6)*$AH6</f>
        <v>0</v>
      </c>
      <c r="LX6" s="2" cm="1">
        <f t="array" ref="LX6">INDEX(动作!$F$3:$F$113,LP6)*$AH6</f>
        <v>0</v>
      </c>
      <c r="LY6" s="2" cm="1">
        <f t="array" ref="LY6">INDEX(动作!$G$3:$G$113,LP6)*$AH6</f>
        <v>453.374249427286</v>
      </c>
      <c r="LZ6" s="2" cm="1">
        <f t="array" ref="LZ6">INDEX(动作!$H$3:$H$113,LP6)</f>
        <v>0</v>
      </c>
      <c r="MA6" s="2" cm="1">
        <f t="array" ref="MA6">INDEX(动作!$L$3:$L$113,LP6)*(1+LX$25)*LO$8</f>
        <v>2.4</v>
      </c>
      <c r="MB6" s="2" cm="1">
        <f t="array" ref="MB6">INDEX(动作!$K$3:$K$113,LP6)*LO$8</f>
        <v>20.1</v>
      </c>
      <c r="MC6" s="2" cm="1">
        <f t="array" ref="MC6">INDEX(动作!$J$3:$J$113,LP6)*LO$8</f>
        <v>12</v>
      </c>
      <c r="MD6" s="2" cm="1">
        <f t="array" ref="MD6">INDEX(动作!$N$3:$N$113,LP6)*LO$8</f>
        <v>0</v>
      </c>
      <c r="ME6" s="5">
        <f>(SUM(MC$4:MC$7)*(0.6+LZ$25)+MC6*(0.4-LZ$25))*(1+$T6+LY$25)+MD6</f>
        <v>12</v>
      </c>
      <c r="MF6" s="5">
        <f>LQ6*LW6%+LR6*LX6%+LS6*LY6%+LZ6</f>
        <v>15297.2407045251</v>
      </c>
      <c r="MG6" s="3">
        <f ca="1">IFERROR(OFFSET($X6,0,MATCH(LU6,$Y$3:$AA$3,0)),0)+IF(LV6="心灵",$AB6,$X6)+IF(LV6="附着",$AC6,0)+IF(LV6="追击",$AD6,0)+MG$25+$W6+IF(LO$28,$AE$4,0)+MC11</f>
        <v>0.875</v>
      </c>
      <c r="MH6" s="3">
        <f>IF(LV6="DOT",50%,MIN($R6+MH$25+MA11,1))</f>
        <v>0.2</v>
      </c>
      <c r="MI6" s="3">
        <f>$S6+MI$25+MB11</f>
        <v>0.8</v>
      </c>
      <c r="MJ6" s="5">
        <f>1+MH6*MI6</f>
        <v>1.16</v>
      </c>
      <c r="MK6" s="3">
        <f>1-$B$6+MK$25+IF($C$6=$F6,$C$8,0)+$AG6+ME11</f>
        <v>0.8</v>
      </c>
      <c r="ML6" s="3">
        <f>IF(MK6&lt;1,MK6,(MK6-1)*0.925+1)</f>
        <v>0.8</v>
      </c>
      <c r="MM6" s="3">
        <f>MIN($AF6+MM$25+MD11,1)</f>
        <v>0</v>
      </c>
      <c r="MN6" s="2">
        <f>IF(LV6="心灵",1,$B$4/($B$4+$C$4*(1-MM6)))</f>
        <v>0.497237569060773</v>
      </c>
      <c r="MO6" s="2" cm="1">
        <f t="array" ref="MO6">INDEX(动作!$I$3:$I$113,LP6)</f>
        <v>0</v>
      </c>
      <c r="MP6" s="6">
        <f ca="1">MF6*(1+MG6)*MJ6*ML6*MN6*MG$28*(1+MN$25)</f>
        <v>13235.0712393847</v>
      </c>
      <c r="MQ6" s="6">
        <f ca="1">MP6*LO$8</f>
        <v>13235.0712393847</v>
      </c>
      <c r="MR6" s="2" cm="1">
        <f t="array" ref="MR6">INDEX(云配队!$J6:$AC6,1,MR$1)</f>
        <v>0</v>
      </c>
      <c r="MS6" s="2" cm="1">
        <f t="array" ref="MS6">IFERROR(MATCH(1,(动作!$A$3:$A$111=$D6)*EXACT(动作!$B$3:$B$111,MR6),0),1)</f>
        <v>1</v>
      </c>
      <c r="MT6" s="2">
        <f>$I6*(1+$J6+MT$25)+$K6+MU$25</f>
        <v>1533.134375</v>
      </c>
      <c r="MU6" s="2">
        <f>$L6*(1+$M6+MV$25)+$N6+MW$25</f>
        <v>19501.6</v>
      </c>
      <c r="MV6" s="2">
        <f>$O6*(1+$P6+MX$25)+$Q6+MY$25</f>
        <v>3374.0868</v>
      </c>
      <c r="MW6" s="2">
        <f>$U6+MZ$25</f>
        <v>0</v>
      </c>
      <c r="MX6" s="2" t="str" cm="1">
        <f t="array" ref="MX6">INDEX(动作!$C$3:$C$113,MS6)</f>
        <v>无</v>
      </c>
      <c r="MY6" s="2" cm="1">
        <f t="array" ref="MY6">INDEX(动作!$D$3:$D$113,MS6)</f>
        <v>0</v>
      </c>
      <c r="MZ6" s="2" cm="1">
        <f t="array" ref="MZ6">INDEX(动作!$E$3:$E$113,MS6)*$AH6</f>
        <v>0</v>
      </c>
      <c r="NA6" s="2" cm="1">
        <f t="array" ref="NA6">INDEX(动作!$F$3:$F$113,MS6)*$AH6</f>
        <v>0</v>
      </c>
      <c r="NB6" s="2" cm="1">
        <f t="array" ref="NB6">INDEX(动作!$G$3:$G$113,MS6)*$AH6</f>
        <v>0</v>
      </c>
      <c r="NC6" s="2" cm="1">
        <f t="array" ref="NC6">INDEX(动作!$H$3:$H$113,MS6)</f>
        <v>0</v>
      </c>
      <c r="ND6" s="2" cm="1">
        <f t="array" ref="ND6">INDEX(动作!$L$3:$L$113,MS6)*(1+NA$25)*MR$8</f>
        <v>0</v>
      </c>
      <c r="NE6" s="2" cm="1">
        <f t="array" ref="NE6">INDEX(动作!$K$3:$K$113,MS6)*MR$8</f>
        <v>0</v>
      </c>
      <c r="NF6" s="2" cm="1">
        <f t="array" ref="NF6">INDEX(动作!$J$3:$J$113,MS6)*MR$8</f>
        <v>0</v>
      </c>
      <c r="NG6" s="2" cm="1">
        <f t="array" ref="NG6">INDEX(动作!$N$3:$N$113,MS6)*MR$8</f>
        <v>0</v>
      </c>
      <c r="NH6" s="5">
        <f>(SUM(NF$4:NF$7)*(0.6+NC$25)+NF6*(0.4-NC$25))*(1+$T6+NB$25)+NG6</f>
        <v>0</v>
      </c>
      <c r="NI6" s="5">
        <f>MT6*MZ6%+MU6*NA6%+MV6*NB6%+NC6</f>
        <v>0</v>
      </c>
      <c r="NJ6" s="3">
        <f ca="1">IFERROR(OFFSET($X6,0,MATCH(MX6,$Y$3:$AA$3,0)),0)+IF(MY6="心灵",$AB6,$X6)+IF(MY6="附着",$AC6,0)+IF(MY6="追击",$AD6,0)+NJ$25+$W6+IF(MR$28,$AE$4,0)+NF11</f>
        <v>0.525</v>
      </c>
      <c r="NK6" s="3">
        <f>IF(MY6="DOT",50%,MIN($R6+NK$25+ND11,1))</f>
        <v>0.2</v>
      </c>
      <c r="NL6" s="3">
        <f>$S6+NL$25+NE11</f>
        <v>0.8</v>
      </c>
      <c r="NM6" s="5">
        <f>1+NK6*NL6</f>
        <v>1.16</v>
      </c>
      <c r="NN6" s="3">
        <f>1-$B$6+NN$25+IF($C$6=$F6,$C$8,0)+$AG6+NH11</f>
        <v>0.8</v>
      </c>
      <c r="NO6" s="3">
        <f>IF(NN6&lt;1,NN6,(NN6-1)*0.925+1)</f>
        <v>0.8</v>
      </c>
      <c r="NP6" s="3">
        <f>MIN($AF6+NP$25+NG11,1)</f>
        <v>0</v>
      </c>
      <c r="NQ6" s="2">
        <f>IF(MY6="心灵",1,$B$4/($B$4+$C$4*(1-NP6)))</f>
        <v>0.497237569060773</v>
      </c>
      <c r="NR6" s="2" cm="1">
        <f t="array" ref="NR6">INDEX(动作!$I$3:$I$113,MS6)</f>
        <v>0</v>
      </c>
      <c r="NS6" s="6">
        <f ca="1">NI6*(1+NJ6)*NM6*NO6*NQ6*NJ$28*(1+NQ$25)</f>
        <v>0</v>
      </c>
      <c r="NT6" s="6">
        <f ca="1">NS6*MR$8</f>
        <v>0</v>
      </c>
      <c r="NU6" s="2" cm="1">
        <f t="array" ref="NU6">INDEX(云配队!$J6:$AC6,1,NU$1)</f>
        <v>0</v>
      </c>
      <c r="NV6" s="2" cm="1">
        <f t="array" ref="NV6">IFERROR(MATCH(1,(动作!$A$3:$A$111=$D6)*EXACT(动作!$B$3:$B$111,NU6),0),1)</f>
        <v>1</v>
      </c>
      <c r="NW6" s="2">
        <f>$I6*(1+$J6+NW$25)+$K6+NX$25</f>
        <v>1533.134375</v>
      </c>
      <c r="NX6" s="2">
        <f>$L6*(1+$M6+NY$25)+$N6+NZ$25</f>
        <v>19501.6</v>
      </c>
      <c r="NY6" s="2">
        <f>$O6*(1+$P6+OA$25)+$Q6+OB$25</f>
        <v>3374.0868</v>
      </c>
      <c r="NZ6" s="2">
        <f>$U6+OC$25</f>
        <v>0</v>
      </c>
      <c r="OA6" s="2" t="str" cm="1">
        <f t="array" ref="OA6">INDEX(动作!$C$3:$C$113,NV6)</f>
        <v>无</v>
      </c>
      <c r="OB6" s="2" cm="1">
        <f t="array" ref="OB6">INDEX(动作!$D$3:$D$113,NV6)</f>
        <v>0</v>
      </c>
      <c r="OC6" s="2" cm="1">
        <f t="array" ref="OC6">INDEX(动作!$E$3:$E$113,NV6)*$AH6</f>
        <v>0</v>
      </c>
      <c r="OD6" s="2" cm="1">
        <f t="array" ref="OD6">INDEX(动作!$F$3:$F$113,NV6)*$AH6</f>
        <v>0</v>
      </c>
      <c r="OE6" s="2" cm="1">
        <f t="array" ref="OE6">INDEX(动作!$G$3:$G$113,NV6)*$AH6</f>
        <v>0</v>
      </c>
      <c r="OF6" s="2" cm="1">
        <f t="array" ref="OF6">INDEX(动作!$H$3:$H$113,NV6)</f>
        <v>0</v>
      </c>
      <c r="OG6" s="2" cm="1">
        <f t="array" ref="OG6">INDEX(动作!$L$3:$L$113,NV6)*(1+OD$25)*NU$8</f>
        <v>0</v>
      </c>
      <c r="OH6" s="2" cm="1">
        <f t="array" ref="OH6">INDEX(动作!$K$3:$K$113,NV6)*NU$8</f>
        <v>0</v>
      </c>
      <c r="OI6" s="2" cm="1">
        <f t="array" ref="OI6">INDEX(动作!$J$3:$J$113,NV6)*NU$8</f>
        <v>0</v>
      </c>
      <c r="OJ6" s="2" cm="1">
        <f t="array" ref="OJ6">INDEX(动作!$N$3:$N$113,NV6)*NU$8</f>
        <v>0</v>
      </c>
      <c r="OK6" s="5">
        <f>(SUM(OI$4:OI$7)*(0.6+OF$25)+OI6*(0.4-OF$25))*(1+$T6+OE$25)+OJ6</f>
        <v>0</v>
      </c>
      <c r="OL6" s="5">
        <f>NW6*OC6%+NX6*OD6%+NY6*OE6%+OF6</f>
        <v>0</v>
      </c>
      <c r="OM6" s="3">
        <f ca="1">IFERROR(OFFSET($X6,0,MATCH(OA6,$Y$3:$AA$3,0)),0)+IF(OB6="心灵",$AB6,$X6)+IF(OB6="附着",$AC6,0)+IF(OB6="追击",$AD6,0)+OM$25+$W6+IF(NU$28,$AE$4,0)+OI11</f>
        <v>0.525</v>
      </c>
      <c r="ON6" s="3">
        <f>IF(OB6="DOT",50%,MIN($R6+ON$25+OG11,1))</f>
        <v>0.2</v>
      </c>
      <c r="OO6" s="3">
        <f>$S6+OO$25+OH11</f>
        <v>0.8</v>
      </c>
      <c r="OP6" s="5">
        <f>1+ON6*OO6</f>
        <v>1.16</v>
      </c>
      <c r="OQ6" s="3">
        <f>1-$B$6+OQ$25+IF($C$6=$F6,$C$8,0)+$AG6+OK11</f>
        <v>0.8</v>
      </c>
      <c r="OR6" s="3">
        <f>IF(OQ6&lt;1,OQ6,(OQ6-1)*0.925+1)</f>
        <v>0.8</v>
      </c>
      <c r="OS6" s="3">
        <f>MIN($AF6+OS$25+OJ11,1)</f>
        <v>0</v>
      </c>
      <c r="OT6" s="2">
        <f>IF(OB6="心灵",1,$B$4/($B$4+$C$4*(1-OS6)))</f>
        <v>0.497237569060773</v>
      </c>
      <c r="OU6" s="2" cm="1">
        <f t="array" ref="OU6">INDEX(动作!$I$3:$I$113,NV6)</f>
        <v>0</v>
      </c>
      <c r="OV6" s="6">
        <f ca="1">OL6*(1+OM6)*OP6*OR6*OT6*OM$28*(1+OT$25)</f>
        <v>0</v>
      </c>
      <c r="OW6" s="6">
        <f ca="1">OV6*NU$8</f>
        <v>0</v>
      </c>
      <c r="OX6" s="2" cm="1">
        <f t="array" ref="OX6">INDEX(云配队!$J6:$AC6,1,OX$1)</f>
        <v>0</v>
      </c>
      <c r="OY6" s="2" cm="1">
        <f t="array" ref="OY6">IFERROR(MATCH(1,(动作!$A$3:$A$111=$D6)*EXACT(动作!$B$3:$B$111,OX6),0),1)</f>
        <v>1</v>
      </c>
      <c r="OZ6" s="2">
        <f>$I6*(1+$J6+OZ$25)+$K6+PA$25</f>
        <v>1533.134375</v>
      </c>
      <c r="PA6" s="2">
        <f>$L6*(1+$M6+PB$25)+$N6+PC$25</f>
        <v>19501.6</v>
      </c>
      <c r="PB6" s="2">
        <f>$O6*(1+$P6+PD$25)+$Q6+PE$25</f>
        <v>3374.0868</v>
      </c>
      <c r="PC6" s="2">
        <f>$U6+PF$25</f>
        <v>0</v>
      </c>
      <c r="PD6" s="2" t="str" cm="1">
        <f t="array" ref="PD6">INDEX(动作!$C$3:$C$113,OY6)</f>
        <v>无</v>
      </c>
      <c r="PE6" s="2" cm="1">
        <f t="array" ref="PE6">INDEX(动作!$D$3:$D$113,OY6)</f>
        <v>0</v>
      </c>
      <c r="PF6" s="2" cm="1">
        <f t="array" ref="PF6">INDEX(动作!$E$3:$E$113,OY6)*$AH6</f>
        <v>0</v>
      </c>
      <c r="PG6" s="2" cm="1">
        <f t="array" ref="PG6">INDEX(动作!$F$3:$F$113,OY6)*$AH6</f>
        <v>0</v>
      </c>
      <c r="PH6" s="2" cm="1">
        <f t="array" ref="PH6">INDEX(动作!$G$3:$G$113,OY6)*$AH6</f>
        <v>0</v>
      </c>
      <c r="PI6" s="2" cm="1">
        <f t="array" ref="PI6">INDEX(动作!$H$3:$H$113,OY6)</f>
        <v>0</v>
      </c>
      <c r="PJ6" s="2" cm="1">
        <f t="array" ref="PJ6">INDEX(动作!$L$3:$L$113,OY6)*(1+PG$25)*OX$8</f>
        <v>0</v>
      </c>
      <c r="PK6" s="2" cm="1">
        <f t="array" ref="PK6">INDEX(动作!$K$3:$K$113,OY6)*OX$8</f>
        <v>0</v>
      </c>
      <c r="PL6" s="2" cm="1">
        <f t="array" ref="PL6">INDEX(动作!$J$3:$J$113,OY6)*OX$8</f>
        <v>0</v>
      </c>
      <c r="PM6" s="2" cm="1">
        <f t="array" ref="PM6">INDEX(动作!$N$3:$N$113,OY6)*OX$8</f>
        <v>0</v>
      </c>
      <c r="PN6" s="5">
        <f>(SUM(PL$4:PL$7)*(0.6+PI$25)+PL6*(0.4-PI$25))*(1+$T6+PH$25)+PM6</f>
        <v>4.26</v>
      </c>
      <c r="PO6" s="5">
        <f>OZ6*PF6%+PA6*PG6%+PB6*PH6%+PI6</f>
        <v>0</v>
      </c>
      <c r="PP6" s="3">
        <f ca="1">IFERROR(OFFSET($X6,0,MATCH(PD6,$Y$3:$AA$3,0)),0)+IF(PE6="心灵",$AB6,$X6)+IF(PE6="附着",$AC6,0)+IF(PE6="追击",$AD6,0)+PP$25+$W6+IF(OX$28,$AE$4,0)+PL11</f>
        <v>0.525</v>
      </c>
      <c r="PQ6" s="3">
        <f>IF(PE6="DOT",50%,MIN($R6+PQ$25+PJ11,1))</f>
        <v>0.2</v>
      </c>
      <c r="PR6" s="3">
        <f>$S6+PR$25+PK11</f>
        <v>0.8</v>
      </c>
      <c r="PS6" s="5">
        <f>1+PQ6*PR6</f>
        <v>1.16</v>
      </c>
      <c r="PT6" s="3">
        <f>1-$B$6+PT$25+IF($C$6=$F6,$C$8,0)+$AG6+PN11</f>
        <v>0.8</v>
      </c>
      <c r="PU6" s="3">
        <f>IF(PT6&lt;1,PT6,(PT6-1)*0.925+1)</f>
        <v>0.8</v>
      </c>
      <c r="PV6" s="3">
        <f>MIN($AF6+PV$25+PM11,1)</f>
        <v>0</v>
      </c>
      <c r="PW6" s="2">
        <f>IF(PE6="心灵",1,$B$4/($B$4+$C$4*(1-PV6)))</f>
        <v>0.497237569060773</v>
      </c>
      <c r="PX6" s="2" cm="1">
        <f t="array" ref="PX6">INDEX(动作!$I$3:$I$113,OY6)</f>
        <v>0</v>
      </c>
      <c r="PY6" s="6">
        <f ca="1">PO6*(1+PP6)*PS6*PU6*PW6*PP$28*(1+PW$25)</f>
        <v>0</v>
      </c>
      <c r="PZ6" s="6">
        <f ca="1">PY6*OX$8</f>
        <v>0</v>
      </c>
      <c r="QA6" s="2" cm="1">
        <f t="array" ref="QA6">INDEX(云配队!$J6:$AC6,1,QA$1)</f>
        <v>0</v>
      </c>
      <c r="QB6" s="2" cm="1">
        <f t="array" ref="QB6">IFERROR(MATCH(1,(动作!$A$3:$A$111=$D6)*EXACT(动作!$B$3:$B$111,QA6),0),1)</f>
        <v>1</v>
      </c>
      <c r="QC6" s="2">
        <f>$I6*(1+$J6+QC$25)+$K6+QD$25</f>
        <v>1533.134375</v>
      </c>
      <c r="QD6" s="2">
        <f>$L6*(1+$M6+QE$25)+$N6+QF$25</f>
        <v>19501.6</v>
      </c>
      <c r="QE6" s="2">
        <f>$O6*(1+$P6+QG$25)+$Q6+QH$25</f>
        <v>3374.0868</v>
      </c>
      <c r="QF6" s="2">
        <f>$U6+QI$25</f>
        <v>0</v>
      </c>
      <c r="QG6" s="2" t="str" cm="1">
        <f t="array" ref="QG6">INDEX(动作!$C$3:$C$113,QB6)</f>
        <v>无</v>
      </c>
      <c r="QH6" s="2" cm="1">
        <f t="array" ref="QH6">INDEX(动作!$D$3:$D$113,QB6)</f>
        <v>0</v>
      </c>
      <c r="QI6" s="2" cm="1">
        <f t="array" ref="QI6">INDEX(动作!$E$3:$E$113,QB6)*$AH6</f>
        <v>0</v>
      </c>
      <c r="QJ6" s="2" cm="1">
        <f t="array" ref="QJ6">INDEX(动作!$F$3:$F$113,QB6)*$AH6</f>
        <v>0</v>
      </c>
      <c r="QK6" s="2" cm="1">
        <f t="array" ref="QK6">INDEX(动作!$G$3:$G$113,QB6)*$AH6</f>
        <v>0</v>
      </c>
      <c r="QL6" s="2" cm="1">
        <f t="array" ref="QL6">INDEX(动作!$H$3:$H$113,QB6)</f>
        <v>0</v>
      </c>
      <c r="QM6" s="2" cm="1">
        <f t="array" ref="QM6">INDEX(动作!$L$3:$L$113,QB6)*(1+QJ$25)*QA$8</f>
        <v>0</v>
      </c>
      <c r="QN6" s="2" cm="1">
        <f t="array" ref="QN6">INDEX(动作!$K$3:$K$113,QB6)*QA$8</f>
        <v>0</v>
      </c>
      <c r="QO6" s="2" cm="1">
        <f t="array" ref="QO6">INDEX(动作!$J$3:$J$113,QB6)*QA$8</f>
        <v>0</v>
      </c>
      <c r="QP6" s="2" cm="1">
        <f t="array" ref="QP6">INDEX(动作!$N$3:$N$113,QB6)*QA$8</f>
        <v>0</v>
      </c>
      <c r="QQ6" s="5">
        <f>(SUM(QO$4:QO$7)*(0.6+QL$25)+QO6*(0.4-QL$25))*(1+$T6+QK$25)+QP6</f>
        <v>0</v>
      </c>
      <c r="QR6" s="5">
        <f>QC6*QI6%+QD6*QJ6%+QE6*QK6%+QL6</f>
        <v>0</v>
      </c>
      <c r="QS6" s="3">
        <f ca="1">IFERROR(OFFSET($X6,0,MATCH(QG6,$Y$3:$AA$3,0)),0)+IF(QH6="心灵",$AB6,$X6)+IF(QH6="附着",$AC6,0)+IF(QH6="追击",$AD6,0)+QS$25+$W6+IF(QA$28,$AE$4,0)+QO11</f>
        <v>0.525</v>
      </c>
      <c r="QT6" s="3">
        <f>IF(QH6="DOT",50%,MIN($R6+QT$25+QM11,1))</f>
        <v>0.2</v>
      </c>
      <c r="QU6" s="3">
        <f>$S6+QU$25+QN11</f>
        <v>0.8</v>
      </c>
      <c r="QV6" s="5">
        <f>1+QT6*QU6</f>
        <v>1.16</v>
      </c>
      <c r="QW6" s="3">
        <f>1-$B$6+QW$25+IF($C$6=$F6,$C$8,0)+$AG6+QQ11</f>
        <v>0.8</v>
      </c>
      <c r="QX6" s="3">
        <f>IF(QW6&lt;1,QW6,(QW6-1)*0.925+1)</f>
        <v>0.8</v>
      </c>
      <c r="QY6" s="3">
        <f>MIN($AF6+QY$25+QP11,1)</f>
        <v>0</v>
      </c>
      <c r="QZ6" s="2">
        <f>IF(QH6="心灵",1,$B$4/($B$4+$C$4*(1-QY6)))</f>
        <v>0.497237569060773</v>
      </c>
      <c r="RA6" s="2" cm="1">
        <f t="array" ref="RA6">INDEX(动作!$I$3:$I$113,QB6)</f>
        <v>0</v>
      </c>
      <c r="RB6" s="6">
        <f ca="1">QR6*(1+QS6)*QV6*QX6*QZ6*QS$28*(1+QZ$25)</f>
        <v>0</v>
      </c>
      <c r="RC6" s="6">
        <f ca="1">RB6*QA$8</f>
        <v>0</v>
      </c>
      <c r="RD6" s="2" cm="1">
        <f t="array" ref="RD6">INDEX(云配队!$J6:$AC6,1,RD$1)</f>
        <v>0</v>
      </c>
      <c r="RE6" s="2" cm="1">
        <f t="array" ref="RE6">IFERROR(MATCH(1,(动作!$A$3:$A$111=$D6)*EXACT(动作!$B$3:$B$111,RD6),0),1)</f>
        <v>1</v>
      </c>
      <c r="RF6" s="2">
        <f>$I6*(1+$J6+RF$25)+$K6+RG$25</f>
        <v>1533.134375</v>
      </c>
      <c r="RG6" s="2">
        <f>$L6*(1+$M6+RH$25)+$N6+RI$25</f>
        <v>19501.6</v>
      </c>
      <c r="RH6" s="2">
        <f>$O6*(1+$P6+RJ$25)+$Q6+RK$25</f>
        <v>3374.0868</v>
      </c>
      <c r="RI6" s="2">
        <f>$U6+RL$25</f>
        <v>0</v>
      </c>
      <c r="RJ6" s="2" t="str" cm="1">
        <f t="array" ref="RJ6">INDEX(动作!$C$3:$C$113,RE6)</f>
        <v>无</v>
      </c>
      <c r="RK6" s="2" cm="1">
        <f t="array" ref="RK6">INDEX(动作!$D$3:$D$113,RE6)</f>
        <v>0</v>
      </c>
      <c r="RL6" s="2" cm="1">
        <f t="array" ref="RL6">INDEX(动作!$E$3:$E$113,RE6)*$AH6</f>
        <v>0</v>
      </c>
      <c r="RM6" s="2" cm="1">
        <f t="array" ref="RM6">INDEX(动作!$F$3:$F$113,RE6)*$AH6</f>
        <v>0</v>
      </c>
      <c r="RN6" s="2" cm="1">
        <f t="array" ref="RN6">INDEX(动作!$G$3:$G$113,RE6)*$AH6</f>
        <v>0</v>
      </c>
      <c r="RO6" s="2" cm="1">
        <f t="array" ref="RO6">INDEX(动作!$H$3:$H$113,RE6)</f>
        <v>0</v>
      </c>
      <c r="RP6" s="2" cm="1">
        <f t="array" ref="RP6">INDEX(动作!$L$3:$L$113,RE6)*(1+RM$25)*RD$8</f>
        <v>0</v>
      </c>
      <c r="RQ6" s="2" cm="1">
        <f t="array" ref="RQ6">INDEX(动作!$K$3:$K$113,RE6)*RD$8</f>
        <v>0</v>
      </c>
      <c r="RR6" s="2" cm="1">
        <f t="array" ref="RR6">INDEX(动作!$J$3:$J$113,RE6)*RD$8</f>
        <v>0</v>
      </c>
      <c r="RS6" s="2" cm="1">
        <f t="array" ref="RS6">INDEX(动作!$N$3:$N$113,RE6)*RD$8</f>
        <v>0</v>
      </c>
      <c r="RT6" s="5">
        <f>(SUM(RR$4:RR$7)*(0.6+RO$25)+RR6*(0.4-RO$25))*(1+$T6+RN$25)+RS6</f>
        <v>7.56</v>
      </c>
      <c r="RU6" s="5">
        <f>RF6*RL6%+RG6*RM6%+RH6*RN6%+RO6</f>
        <v>0</v>
      </c>
      <c r="RV6" s="3">
        <f ca="1">IFERROR(OFFSET($X6,0,MATCH(RJ6,$Y$3:$AA$3,0)),0)+IF(RK6="心灵",$AB6,$X6)+IF(RK6="附着",$AC6,0)+IF(RK6="追击",$AD6,0)+RV$25+$W6+IF(RD$28,$AE$4,0)+RR11</f>
        <v>0.525</v>
      </c>
      <c r="RW6" s="3">
        <f>IF(RK6="DOT",50%,MIN($R6+RW$25+RP11,1))</f>
        <v>0.2</v>
      </c>
      <c r="RX6" s="3">
        <f>$S6+RX$25+RQ11</f>
        <v>0.8</v>
      </c>
      <c r="RY6" s="5">
        <f>1+RW6*RX6</f>
        <v>1.16</v>
      </c>
      <c r="RZ6" s="3">
        <f>1-$B$6+RZ$25+IF($C$6=$F6,$C$8,0)+$AG6+RT11</f>
        <v>0.8</v>
      </c>
      <c r="SA6" s="3">
        <f>IF(RZ6&lt;1,RZ6,(RZ6-1)*0.925+1)</f>
        <v>0.8</v>
      </c>
      <c r="SB6" s="3">
        <f>MIN($AF6+SB$25+RS11,1)</f>
        <v>0</v>
      </c>
      <c r="SC6" s="2">
        <f>IF(RK6="心灵",1,$B$4/($B$4+$C$4*(1-SB6)))</f>
        <v>0.497237569060773</v>
      </c>
      <c r="SD6" s="2" cm="1">
        <f t="array" ref="SD6">INDEX(动作!$I$3:$I$113,RE6)</f>
        <v>0</v>
      </c>
      <c r="SE6" s="6">
        <f ca="1">RU6*(1+RV6)*RY6*SA6*SC6*RV$28*(1+SC$25)</f>
        <v>0</v>
      </c>
      <c r="SF6" s="6">
        <f ca="1">SE6*RD$8</f>
        <v>0</v>
      </c>
      <c r="SG6" s="2" cm="1">
        <f t="array" ref="SG6">INDEX(云配队!$J6:$AC6,1,SG$1)</f>
        <v>0</v>
      </c>
      <c r="SH6" s="2" cm="1">
        <f t="array" ref="SH6">IFERROR(MATCH(1,(动作!$A$3:$A$111=$D6)*EXACT(动作!$B$3:$B$111,SG6),0),1)</f>
        <v>1</v>
      </c>
      <c r="SI6" s="2">
        <f>$I6*(1+$J6+SI$25)+$K6+SJ$25</f>
        <v>1533.134375</v>
      </c>
      <c r="SJ6" s="2">
        <f>$L6*(1+$M6+SK$25)+$N6+SL$25</f>
        <v>19501.6</v>
      </c>
      <c r="SK6" s="2">
        <f>$O6*(1+$P6+SM$25)+$Q6+SN$25</f>
        <v>3374.0868</v>
      </c>
      <c r="SL6" s="2">
        <f>$U6+SO$25</f>
        <v>0</v>
      </c>
      <c r="SM6" s="2" t="str" cm="1">
        <f t="array" ref="SM6">INDEX(动作!$C$3:$C$113,SH6)</f>
        <v>无</v>
      </c>
      <c r="SN6" s="2" cm="1">
        <f t="array" ref="SN6">INDEX(动作!$D$3:$D$113,SH6)</f>
        <v>0</v>
      </c>
      <c r="SO6" s="2" cm="1">
        <f t="array" ref="SO6">INDEX(动作!$E$3:$E$113,SH6)*$AH6</f>
        <v>0</v>
      </c>
      <c r="SP6" s="2" cm="1">
        <f t="array" ref="SP6">INDEX(动作!$F$3:$F$113,SH6)*$AH6</f>
        <v>0</v>
      </c>
      <c r="SQ6" s="2" cm="1">
        <f t="array" ref="SQ6">INDEX(动作!$G$3:$G$113,SH6)*$AH6</f>
        <v>0</v>
      </c>
      <c r="SR6" s="2" cm="1">
        <f t="array" ref="SR6">INDEX(动作!$H$3:$H$113,SH6)</f>
        <v>0</v>
      </c>
      <c r="SS6" s="2" cm="1">
        <f t="array" ref="SS6">INDEX(动作!$L$3:$L$113,SH6)*(1+SP$25)*SG$8</f>
        <v>0</v>
      </c>
      <c r="ST6" s="2" cm="1">
        <f t="array" ref="ST6">INDEX(动作!$K$3:$K$113,SH6)*SG$8</f>
        <v>0</v>
      </c>
      <c r="SU6" s="2" cm="1">
        <f t="array" ref="SU6">INDEX(动作!$J$3:$J$113,SH6)*SG$8</f>
        <v>0</v>
      </c>
      <c r="SV6" s="2" cm="1">
        <f t="array" ref="SV6">INDEX(动作!$N$3:$N$113,SH6)*SG$8</f>
        <v>0</v>
      </c>
      <c r="SW6" s="5">
        <f>(SUM(SU$4:SU$7)*(0.6+SR$25)+SU6*(0.4-SR$25))*(1+$T6+SQ$25)+SV6</f>
        <v>0</v>
      </c>
      <c r="SX6" s="5">
        <f>SI6*SO6%+SJ6*SP6%+SK6*SQ6%+SR6</f>
        <v>0</v>
      </c>
      <c r="SY6" s="3">
        <f ca="1">IFERROR(OFFSET($X6,0,MATCH(SM6,$Y$3:$AA$3,0)),0)+IF(SN6="心灵",$AB6,$X6)+IF(SN6="附着",$AC6,0)+IF(SN6="追击",$AD6,0)+SY$25+$W6+IF(SG$28,$AE$4,0)+SU11</f>
        <v>0.525</v>
      </c>
      <c r="SZ6" s="3">
        <f>IF(SN6="DOT",50%,MIN($R6+SZ$25+SS11,1))</f>
        <v>0.2</v>
      </c>
      <c r="TA6" s="3">
        <f>$S6+TA$25+ST11</f>
        <v>0.8</v>
      </c>
      <c r="TB6" s="5">
        <f>1+SZ6*TA6</f>
        <v>1.16</v>
      </c>
      <c r="TC6" s="3">
        <f>1-$B$6+TC$25+IF($C$6=$F6,$C$8,0)+$AG6+SW11</f>
        <v>0.8</v>
      </c>
      <c r="TD6" s="3">
        <f>IF(TC6&lt;1,TC6,(TC6-1)*0.925+1)</f>
        <v>0.8</v>
      </c>
      <c r="TE6" s="3">
        <f>MIN($AF6+TE$25+SV11,1)</f>
        <v>0</v>
      </c>
      <c r="TF6" s="2">
        <f>IF(SN6="心灵",1,$B$4/($B$4+$C$4*(1-TE6)))</f>
        <v>0.497237569060773</v>
      </c>
      <c r="TG6" s="2" cm="1">
        <f t="array" ref="TG6">INDEX(动作!$I$3:$I$113,SH6)</f>
        <v>0</v>
      </c>
      <c r="TH6" s="6">
        <f ca="1">SX6*(1+SY6)*TB6*TD6*TF6*SY$28*(1+TF$25)</f>
        <v>0</v>
      </c>
      <c r="TI6" s="6">
        <f ca="1">TH6*SG$8</f>
        <v>0</v>
      </c>
      <c r="TJ6" s="2" cm="1">
        <f t="array" ref="TJ6">INDEX(云配队!$J6:$AC6,1,TJ$1)</f>
        <v>0</v>
      </c>
      <c r="TK6" s="2" cm="1">
        <f t="array" ref="TK6">IFERROR(MATCH(1,(动作!$A$3:$A$111=$D6)*EXACT(动作!$B$3:$B$111,TJ6),0),1)</f>
        <v>1</v>
      </c>
      <c r="TL6" s="2">
        <f>$I6*(1+$J6+TL$25)+$K6+TM$25</f>
        <v>1533.134375</v>
      </c>
      <c r="TM6" s="2">
        <f>$L6*(1+$M6+TN$25)+$N6+TO$25</f>
        <v>19501.6</v>
      </c>
      <c r="TN6" s="2">
        <f>$O6*(1+$P6+TP$25)+$Q6+TQ$25</f>
        <v>3374.0868</v>
      </c>
      <c r="TO6" s="2">
        <f>$U6+TR$25</f>
        <v>0</v>
      </c>
      <c r="TP6" s="2" t="str" cm="1">
        <f t="array" ref="TP6">INDEX(动作!$C$3:$C$113,TK6)</f>
        <v>无</v>
      </c>
      <c r="TQ6" s="2" cm="1">
        <f t="array" ref="TQ6">INDEX(动作!$D$3:$D$113,TK6)</f>
        <v>0</v>
      </c>
      <c r="TR6" s="2" cm="1">
        <f t="array" ref="TR6">INDEX(动作!$E$3:$E$113,TK6)*$AH6</f>
        <v>0</v>
      </c>
      <c r="TS6" s="2" cm="1">
        <f t="array" ref="TS6">INDEX(动作!$F$3:$F$113,TK6)*$AH6</f>
        <v>0</v>
      </c>
      <c r="TT6" s="2" cm="1">
        <f t="array" ref="TT6">INDEX(动作!$G$3:$G$113,TK6)*$AH6</f>
        <v>0</v>
      </c>
      <c r="TU6" s="2" cm="1">
        <f t="array" ref="TU6">INDEX(动作!$H$3:$H$113,TK6)</f>
        <v>0</v>
      </c>
      <c r="TV6" s="2" cm="1">
        <f t="array" ref="TV6">INDEX(动作!$L$3:$L$113,TK6)*(1+TS$25)*TJ$8</f>
        <v>0</v>
      </c>
      <c r="TW6" s="2" cm="1">
        <f t="array" ref="TW6">INDEX(动作!$K$3:$K$113,TK6)*TJ$8</f>
        <v>0</v>
      </c>
      <c r="TX6" s="2" cm="1">
        <f t="array" ref="TX6">INDEX(动作!$J$3:$J$113,TK6)*TJ$8</f>
        <v>0</v>
      </c>
      <c r="TY6" s="2" cm="1">
        <f t="array" ref="TY6">INDEX(动作!$N$3:$N$113,TK6)*TJ$8</f>
        <v>0</v>
      </c>
      <c r="TZ6" s="5">
        <f>(SUM(TX$4:TX$7)*(0.6+TU$25)+TX6*(0.4-TU$25))*(1+$T6+TT$25)+TY6</f>
        <v>0</v>
      </c>
      <c r="UA6" s="5">
        <f>TL6*TR6%+TM6*TS6%+TN6*TT6%+TU6</f>
        <v>0</v>
      </c>
      <c r="UB6" s="3">
        <f ca="1">IFERROR(OFFSET($X6,0,MATCH(TP6,$Y$3:$AA$3,0)),0)+IF(TQ6="心灵",$AB6,$X6)+IF(TQ6="附着",$AC6,0)+IF(TQ6="追击",$AD6,0)+UB$25+$W6+IF(TJ$28,$AE$4,0)+TX11</f>
        <v>0.525</v>
      </c>
      <c r="UC6" s="3">
        <f>IF(TQ6="DOT",50%,MIN($R6+UC$25+TV11,1))</f>
        <v>0.2</v>
      </c>
      <c r="UD6" s="3">
        <f>$S6+UD$25+TW11</f>
        <v>0.8</v>
      </c>
      <c r="UE6" s="5">
        <f>1+UC6*UD6</f>
        <v>1.16</v>
      </c>
      <c r="UF6" s="3">
        <f>1-$B$6+UF$25+IF($C$6=$F6,$C$8,0)+$AG6+TZ11</f>
        <v>0.8</v>
      </c>
      <c r="UG6" s="3">
        <f>IF(UF6&lt;1,UF6,(UF6-1)*0.925+1)</f>
        <v>0.8</v>
      </c>
      <c r="UH6" s="3">
        <f>MIN($AF6+UH$25+TY11,1)</f>
        <v>0</v>
      </c>
      <c r="UI6" s="2">
        <f>IF(TQ6="心灵",1,$B$4/($B$4+$C$4*(1-UH6)))</f>
        <v>0.497237569060773</v>
      </c>
      <c r="UJ6" s="2" cm="1">
        <f t="array" ref="UJ6">INDEX(动作!$I$3:$I$113,TK6)</f>
        <v>0</v>
      </c>
      <c r="UK6" s="6">
        <f ca="1">UA6*(1+UB6)*UE6*UG6*UI6*UB$28*(1+UI$25)</f>
        <v>0</v>
      </c>
      <c r="UL6" s="6">
        <f ca="1">UK6*TJ$8</f>
        <v>0</v>
      </c>
      <c r="UM6" s="2" cm="1">
        <f t="array" ref="UM6">INDEX(云配队!$J6:$AC6,1,UM$1)</f>
        <v>0</v>
      </c>
      <c r="UN6" s="2" cm="1">
        <f t="array" ref="UN6">IFERROR(MATCH(1,(动作!$A$3:$A$111=$D6)*EXACT(动作!$B$3:$B$111,UM6),0),1)</f>
        <v>1</v>
      </c>
      <c r="UO6" s="2">
        <f>$I6*(1+$J6+UO$25)+$K6+UP$25</f>
        <v>1533.134375</v>
      </c>
      <c r="UP6" s="2">
        <f>$L6*(1+$M6+UQ$25)+$N6+UR$25</f>
        <v>19501.6</v>
      </c>
      <c r="UQ6" s="2">
        <f>$O6*(1+$P6+US$25)+$Q6+UT$25</f>
        <v>3374.0868</v>
      </c>
      <c r="UR6" s="2">
        <f>$U6+UU$25</f>
        <v>0</v>
      </c>
      <c r="US6" s="2" t="str" cm="1">
        <f t="array" ref="US6">INDEX(动作!$C$3:$C$113,UN6)</f>
        <v>无</v>
      </c>
      <c r="UT6" s="2" cm="1">
        <f t="array" ref="UT6">INDEX(动作!$D$3:$D$113,UN6)</f>
        <v>0</v>
      </c>
      <c r="UU6" s="2" cm="1">
        <f t="array" ref="UU6">INDEX(动作!$E$3:$E$113,UN6)*$AH6</f>
        <v>0</v>
      </c>
      <c r="UV6" s="2" cm="1">
        <f t="array" ref="UV6">INDEX(动作!$F$3:$F$113,UN6)*$AH6</f>
        <v>0</v>
      </c>
      <c r="UW6" s="2" cm="1">
        <f t="array" ref="UW6">INDEX(动作!$G$3:$G$113,UN6)*$AH6</f>
        <v>0</v>
      </c>
      <c r="UX6" s="2" cm="1">
        <f t="array" ref="UX6">INDEX(动作!$H$3:$H$113,UN6)</f>
        <v>0</v>
      </c>
      <c r="UY6" s="2" cm="1">
        <f t="array" ref="UY6">INDEX(动作!$L$3:$L$113,UN6)*(1+UV$25)*UM$8</f>
        <v>0</v>
      </c>
      <c r="UZ6" s="2" cm="1">
        <f t="array" ref="UZ6">INDEX(动作!$K$3:$K$113,UN6)*UM$8</f>
        <v>0</v>
      </c>
      <c r="VA6" s="2" cm="1">
        <f t="array" ref="VA6">INDEX(动作!$J$3:$J$113,UN6)*UM$8</f>
        <v>0</v>
      </c>
      <c r="VB6" s="2" cm="1">
        <f t="array" ref="VB6">INDEX(动作!$N$3:$N$113,UN6)*UM$8</f>
        <v>0</v>
      </c>
      <c r="VC6" s="5">
        <f>(SUM(VA$4:VA$7)*(0.6+UX$25)+VA6*(0.4-UX$25))*(1+$T6+UW$25)+VB6</f>
        <v>0</v>
      </c>
      <c r="VD6" s="5">
        <f>UO6*UU6%+UP6*UV6%+UQ6*UW6%+UX6</f>
        <v>0</v>
      </c>
      <c r="VE6" s="3">
        <f ca="1">IFERROR(OFFSET($X6,0,MATCH(US6,$Y$3:$AA$3,0)),0)+IF(UT6="心灵",$AB6,$X6)+IF(UT6="附着",$AC6,0)+IF(UT6="追击",$AD6,0)+VE$25+$W6+IF(UM$28,$AE$4,0)+VA11</f>
        <v>0.6</v>
      </c>
      <c r="VF6" s="3">
        <f>IF(UT6="DOT",50%,MIN($R6+VF$25+UY11,1))</f>
        <v>0.2</v>
      </c>
      <c r="VG6" s="3">
        <f>$S6+VG$25+UZ11</f>
        <v>0.8</v>
      </c>
      <c r="VH6" s="5">
        <f>1+VF6*VG6</f>
        <v>1.16</v>
      </c>
      <c r="VI6" s="3">
        <f>1-$B$6+VI$25+IF($C$6=$F6,$C$8,0)+$AG6+VC11</f>
        <v>0.8</v>
      </c>
      <c r="VJ6" s="3">
        <f>IF(VI6&lt;1,VI6,(VI6-1)*0.925+1)</f>
        <v>0.8</v>
      </c>
      <c r="VK6" s="3">
        <f>MIN($AF6+VK$25+VB11,1)</f>
        <v>0</v>
      </c>
      <c r="VL6" s="2">
        <f>IF(UT6="心灵",1,$B$4/($B$4+$C$4*(1-VK6)))</f>
        <v>0.497237569060773</v>
      </c>
      <c r="VM6" s="2" cm="1">
        <f t="array" ref="VM6">INDEX(动作!$I$3:$I$113,UN6)</f>
        <v>0</v>
      </c>
      <c r="VN6" s="6">
        <f ca="1">VD6*(1+VE6)*VH6*VJ6*VL6*VE$28*(1+VL$25)</f>
        <v>0</v>
      </c>
      <c r="VO6" s="6">
        <f ca="1">VN6*UM$8</f>
        <v>0</v>
      </c>
      <c r="VP6" s="2" cm="1">
        <f t="array" ref="VP6">INDEX(云配队!$J6:$AC6,1,VP$1)</f>
        <v>0</v>
      </c>
      <c r="VQ6" s="2" cm="1">
        <f t="array" ref="VQ6">IFERROR(MATCH(1,(动作!$A$3:$A$111=$D6)*EXACT(动作!$B$3:$B$111,VP6),0),1)</f>
        <v>1</v>
      </c>
      <c r="VR6" s="2">
        <f>$I6*(1+$J6+VR$25)+$K6+VS$25</f>
        <v>1533.134375</v>
      </c>
      <c r="VS6" s="2">
        <f>$L6*(1+$M6+VT$25)+$N6+VU$25</f>
        <v>19501.6</v>
      </c>
      <c r="VT6" s="2">
        <f>$O6*(1+$P6+VV$25)+$Q6+VW$25</f>
        <v>3374.0868</v>
      </c>
      <c r="VU6" s="2">
        <f>$U6+VX$25</f>
        <v>0</v>
      </c>
      <c r="VV6" s="2" t="str" cm="1">
        <f t="array" ref="VV6">INDEX(动作!$C$3:$C$113,VQ6)</f>
        <v>无</v>
      </c>
      <c r="VW6" s="2" cm="1">
        <f t="array" ref="VW6">INDEX(动作!$D$3:$D$113,VQ6)</f>
        <v>0</v>
      </c>
      <c r="VX6" s="2" cm="1">
        <f t="array" ref="VX6">INDEX(动作!$E$3:$E$113,VQ6)*$AH6</f>
        <v>0</v>
      </c>
      <c r="VY6" s="2" cm="1">
        <f t="array" ref="VY6">INDEX(动作!$F$3:$F$113,VQ6)*$AH6</f>
        <v>0</v>
      </c>
      <c r="VZ6" s="2" cm="1">
        <f t="array" ref="VZ6">INDEX(动作!$G$3:$G$113,VQ6)*$AH6</f>
        <v>0</v>
      </c>
      <c r="WA6" s="2" cm="1">
        <f t="array" ref="WA6">INDEX(动作!$H$3:$H$113,VQ6)</f>
        <v>0</v>
      </c>
      <c r="WB6" s="2" cm="1">
        <f t="array" ref="WB6">INDEX(动作!$L$3:$L$113,VQ6)*(1+VY$25)*VP$8</f>
        <v>0</v>
      </c>
      <c r="WC6" s="2" cm="1">
        <f t="array" ref="WC6">INDEX(动作!$K$3:$K$113,VQ6)*VP$8</f>
        <v>0</v>
      </c>
      <c r="WD6" s="2" cm="1">
        <f t="array" ref="WD6">INDEX(动作!$J$3:$J$113,VQ6)*VP$8</f>
        <v>0</v>
      </c>
      <c r="WE6" s="2" cm="1">
        <f t="array" ref="WE6">INDEX(动作!$N$3:$N$113,VQ6)*VP$8</f>
        <v>0</v>
      </c>
      <c r="WF6" s="5">
        <f>(SUM(WD$4:WD$7)*(0.6+WA$25)+WD6*(0.4-WA$25))*(1+$T6+VZ$25)+WE6</f>
        <v>0</v>
      </c>
      <c r="WG6" s="5">
        <f>VR6*VX6%+VS6*VY6%+VT6*VZ6%+WA6</f>
        <v>0</v>
      </c>
      <c r="WH6" s="3">
        <f ca="1">IFERROR(OFFSET($X6,0,MATCH(VV6,$Y$3:$AA$3,0)),0)+IF(VW6="心灵",$AB6,$X6)+IF(VW6="附着",$AC6,0)+IF(VW6="追击",$AD6,0)+WH$25+$W6+IF(VP$28,$AE$4,0)+WD11</f>
        <v>0.525</v>
      </c>
      <c r="WI6" s="3">
        <f>IF(VW6="DOT",50%,MIN($R6+WI$25+WB11,1))</f>
        <v>0.2</v>
      </c>
      <c r="WJ6" s="3">
        <f>$S6+WJ$25+WC11</f>
        <v>0.8</v>
      </c>
      <c r="WK6" s="5">
        <f>1+WI6*WJ6</f>
        <v>1.16</v>
      </c>
      <c r="WL6" s="3">
        <f>1-$B$6+WL$25+IF($C$6=$F6,$C$8,0)+$AG6+WF11</f>
        <v>0.8</v>
      </c>
      <c r="WM6" s="3">
        <f>IF(WL6&lt;1,WL6,(WL6-1)*0.925+1)</f>
        <v>0.8</v>
      </c>
      <c r="WN6" s="3">
        <f>MIN($AF6+WN$25+WE11,1)</f>
        <v>0.1675</v>
      </c>
      <c r="WO6" s="2">
        <f>IF(VW6="心灵",1,$B$4/($B$4+$C$4*(1-WN6)))</f>
        <v>0.542961856929551</v>
      </c>
      <c r="WP6" s="2" cm="1">
        <f t="array" ref="WP6">INDEX(动作!$I$3:$I$113,VQ6)</f>
        <v>0</v>
      </c>
      <c r="WQ6" s="6">
        <f ca="1">WG6*(1+WH6)*WK6*WM6*WO6*WH$28*(1+WO$25)</f>
        <v>0</v>
      </c>
      <c r="WR6" s="6">
        <f ca="1">WQ6*VP$8</f>
        <v>0</v>
      </c>
    </row>
    <row r="7" spans="1:616">
      <c r="C7" s="2" t="s">
        <v>536</v>
      </c>
      <c r="D7" s="2" t="str">
        <f>云配队!F7</f>
        <v>九原</v>
      </c>
      <c r="E7" s="2">
        <f>MATCH($D7,角色!$A$3:$A$18,0)</f>
        <v>6</v>
      </c>
      <c r="F7" s="2" t="str">
        <f>VLOOKUP($D7,配装!$A$3:$B$18,2,FALSE)</f>
        <v>灵</v>
      </c>
      <c r="G7" s="2">
        <f>MATCH(云配队!G7,弧盘!$A$3:$A$51,0)</f>
        <v>7</v>
      </c>
      <c r="H7" s="2">
        <f>MATCH(云配队!H7,卡带!$A$3:$A$14,0)</f>
        <v>5</v>
      </c>
      <c r="I7" s="2" cm="1">
        <f t="array" ref="I7">INDEX(配装!D$3:D$18,$E7)</f>
        <v>1221.9</v>
      </c>
      <c r="J7" s="3" cm="1">
        <f t="array" ref="J7">INDEX(配装!E$3:E$18,$E7)+INDEX(弧盘!$R$3:$R$51,G7)+INDEX(卡带!$O$3:$O$14,H7)</f>
        <v>0.4875</v>
      </c>
      <c r="K7" s="2" cm="1">
        <f t="array" ref="K7">INDEX(配装!F$3:F$18,$E7)</f>
        <v>420</v>
      </c>
      <c r="L7" s="2" cm="1">
        <f t="array" ref="L7">INDEX(配装!H$3:H$18,$E7)</f>
        <v>15634.8</v>
      </c>
      <c r="M7" s="2" cm="1">
        <f t="array" ref="M7">INDEX(配装!I$3:I$18,$E7)</f>
        <v>0</v>
      </c>
      <c r="N7" s="2" cm="1">
        <f t="array" ref="N7">INDEX(配装!J$3:J$18,$E7)</f>
        <v>5200</v>
      </c>
      <c r="O7" s="2" cm="1">
        <f t="array" ref="O7">INDEX(配装!L$3:L$18,$E7)</f>
        <v>909</v>
      </c>
      <c r="P7" s="2" cm="1">
        <f t="array" ref="P7">INDEX(配装!M$3:M$18,$E7)</f>
        <v>0</v>
      </c>
      <c r="Q7" s="2" cm="1">
        <f t="array" ref="Q7">INDEX(配装!N$3:N$18,$E7)</f>
        <v>0</v>
      </c>
      <c r="R7" s="4" cm="1">
        <f t="array" ref="R7">INDEX(配装!P$3:P$18,$E7)+INDEX(弧盘!P$3:P$51,$G7)+INDEX(卡带!M$3:M$14,$H7)</f>
        <v>0.75</v>
      </c>
      <c r="S7" s="4" cm="1">
        <f t="array" ref="S7">INDEX(配装!Q$3:Q$18,$E7)+INDEX(弧盘!Q$3:Q$51,$G7)+INDEX(卡带!N$3:N$14,$H7)</f>
        <v>1.36</v>
      </c>
      <c r="T7" s="5" cm="1">
        <f t="array" ref="T7">INDEX(配装!S$3:S$18,$E7)</f>
        <v>0</v>
      </c>
      <c r="U7" s="5" cm="1">
        <f t="array" ref="U7">INDEX(配装!T$3:T$18,$E7)+INDEX(弧盘!V$3:V$51,$G7)</f>
        <v>0</v>
      </c>
      <c r="V7" s="5" cm="1">
        <f t="array" ref="V7">INDEX(配装!U$3:U$18,$E7)+INDEX(弧盘!W$3:W$51,$G7)+IF(T13&gt;=3,126,0)</f>
        <v>0</v>
      </c>
      <c r="W7" s="4" cm="1">
        <f t="array" ref="W7">INDEX(角色!W$3:W$18,$E7)+INDEX(弧盘!X$3:X$51,$G7)+INDEX(卡带!Q$3:Q$15,$H7)+INDEX(配装!$AG$3:$AG$18,$E7)</f>
        <v>0.15</v>
      </c>
      <c r="X7" s="4" cm="1">
        <f t="array" ref="X7">INDEX(配装!$R$3:$R$18,E7)+INDEX(弧盘!Y$3:Y$51,$G7)+INDEX(卡带!R$3:R$15,$H7)</f>
        <v>0.25</v>
      </c>
      <c r="Y7" s="4" cm="1">
        <f t="array" ref="Y7">INDEX(角色!Y$3:Y$18,$E7)+INDEX(弧盘!Z$3:Z$51,$G7)+INDEX(卡带!S$3:S$15,$H7)</f>
        <v>0</v>
      </c>
      <c r="Z7" s="4" cm="1">
        <f t="array" ref="Z7">INDEX(角色!Z$3:Z$18,$E7)+INDEX(弧盘!AA$3:AA$51,$G7)+INDEX(卡带!T$3:T$15,$H7)</f>
        <v>0</v>
      </c>
      <c r="AA7" s="4" cm="1">
        <f t="array" ref="AA7">INDEX(角色!AA$3:AA$18,$E7)+INDEX(弧盘!AB$3:AB$51,$G7)+INDEX(卡带!U$3:U$15,$H7)</f>
        <v>0</v>
      </c>
      <c r="AB7" s="4" cm="1">
        <f t="array" ref="AB7">INDEX(角色!AB$3:AB$18,$E7)+INDEX(弧盘!AC$3:AC$51,$G7)+INDEX(卡带!V$3:V$15,$H7)+INDEX(卡带!$I$3:$I$14,$H$4)</f>
        <v>0</v>
      </c>
      <c r="AC7" s="4" cm="1">
        <f t="array" ref="AC7">INDEX(角色!AC$3:AC$18,$E7)+INDEX(弧盘!AD$3:AD$51,$G7)</f>
        <v>0.3</v>
      </c>
      <c r="AD7" s="4" cm="1">
        <f t="array" ref="AD7">INDEX(角色!AD$3:AD$18,$E7)+INDEX(弧盘!AE$3:AE$51,$G7)</f>
        <v>0</v>
      </c>
      <c r="AE7" s="4" cm="1">
        <f t="array" ref="AE7">INDEX(角色!AE$3:AE$18,$E7)+INDEX(弧盘!AF$3:AF$51,$G7)</f>
        <v>0</v>
      </c>
      <c r="AF7" s="4" cm="1">
        <f t="array" ref="AF7">INDEX(角色!R$3:R$18,$E7)+INDEX(卡带!K$3:K$14,$H7)</f>
        <v>0</v>
      </c>
      <c r="AG7" s="4" cm="1">
        <f t="array" ref="AG7">INDEX(角色!S$3:S$18,$E7)+INDEX(卡带!L$3:L$14,$H7)</f>
        <v>0</v>
      </c>
      <c r="AH7" s="2" cm="1">
        <f t="array" ref="AH7">INDEX(配装!$AA$3:$AA$18,E7)</f>
        <v>1.99900462710443</v>
      </c>
      <c r="AK7" s="2" cm="1">
        <f t="array" ref="AK7">INDEX(云配队!$J7:$AC7,1,AK$1)</f>
        <v>0</v>
      </c>
      <c r="AL7" s="2" cm="1">
        <f t="array" ref="AL7">IFERROR(MATCH(1,(动作!$A$3:$A$111=$D7)*EXACT(动作!$B$3:$B$111,AK7),0),1)</f>
        <v>1</v>
      </c>
      <c r="AM7" s="2">
        <f>$I7*(1+$J7+AM$25)+$K7+AN$25</f>
        <v>2329.21875</v>
      </c>
      <c r="AN7" s="2">
        <f>$L7*(1+$M7+AO$25)+$N7+AP$25</f>
        <v>20834.8</v>
      </c>
      <c r="AO7" s="2">
        <f>$O7*(1+$P7+AQ$25)+$Q7+AR$25</f>
        <v>909</v>
      </c>
      <c r="AP7" s="2">
        <f>$U7+AS$25</f>
        <v>0</v>
      </c>
      <c r="AQ7" s="2" t="str" cm="1">
        <f t="array" ref="AQ7">INDEX(动作!$C$3:$C$113,AL7)</f>
        <v>无</v>
      </c>
      <c r="AR7" s="2" cm="1">
        <f t="array" ref="AR7">INDEX(动作!$D$3:$D$113,AL7)</f>
        <v>0</v>
      </c>
      <c r="AS7" s="2" cm="1">
        <f t="array" ref="AS7">INDEX(动作!$E$3:$E$113,AL7)*$AH7</f>
        <v>0</v>
      </c>
      <c r="AT7" s="2" cm="1">
        <f t="array" ref="AT7">INDEX(动作!$F$3:$F$113,AL7)*$AH7</f>
        <v>0</v>
      </c>
      <c r="AU7" s="2" cm="1">
        <f t="array" ref="AU7">INDEX(动作!$G$3:$G$113,AL7)*$AH7</f>
        <v>0</v>
      </c>
      <c r="AV7" s="2" cm="1">
        <f t="array" ref="AV7">INDEX(动作!$H$3:$H$113,AL7)</f>
        <v>0</v>
      </c>
      <c r="AW7" s="2" cm="1">
        <f t="array" ref="AW7">INDEX(动作!$L$3:$L$113,AL7)*(1+AT$25)*AK$8</f>
        <v>0</v>
      </c>
      <c r="AX7" s="2" cm="1">
        <f t="array" ref="AX7">INDEX(动作!$K$3:$K$113,AL7)*AK$8</f>
        <v>0</v>
      </c>
      <c r="AY7" s="2" cm="1">
        <f t="array" ref="AY7">INDEX(动作!$J$3:$J$113,AL7)*AK$8</f>
        <v>0</v>
      </c>
      <c r="AZ7" s="2" cm="1">
        <f t="array" ref="AZ7">INDEX(动作!$N$3:$N$113,AL7)*AK$8</f>
        <v>0</v>
      </c>
      <c r="BA7" s="5">
        <f>(SUM(AY$4:AY$7)*(0.6+AV$25)+AY7*(0.4-AV$25))*(1+$T7+AU$25)+AZ7</f>
        <v>5.2806</v>
      </c>
      <c r="BB7" s="5">
        <f>AM7*AS7%+AN7*AT7%+AO7*AU7%+AV7</f>
        <v>0</v>
      </c>
      <c r="BC7" s="3">
        <f ca="1">IFERROR(OFFSET($X7,0,MATCH(AQ7,$Y$3:$AA$3,0)),0)+IF(AR7="心灵",$AB7,$X7)+IF(AR7="附着",$AC7,0)+IF(AR7="追击",$AD7,0)+BC$25+$W7+IF(AK$28,$AE$4,0)+AY12</f>
        <v>0.4</v>
      </c>
      <c r="BD7" s="3">
        <f>IF(AR7="DOT",50%,MIN($R7+BD$25+AW12,1))</f>
        <v>0.75</v>
      </c>
      <c r="BE7" s="3">
        <f>$S7+BE$25+AX12</f>
        <v>1.36</v>
      </c>
      <c r="BF7" s="5">
        <f>1+BD7*BE7</f>
        <v>2.02</v>
      </c>
      <c r="BG7" s="3">
        <f>1-$B$6+BG$25+IF($C$6=$F7,$C$8,0)+$AG7+BA12</f>
        <v>0.8</v>
      </c>
      <c r="BH7" s="3">
        <f>IF(BG7&lt;1,BG7,(BG7-1)*0.925+1)</f>
        <v>0.8</v>
      </c>
      <c r="BI7" s="3">
        <f>MIN($AF7+BI$25+AZ12,1)</f>
        <v>0.1675</v>
      </c>
      <c r="BJ7" s="2">
        <f>IF(AR7="心灵",1,$B$4/($B$4+$C$4*(1-BI7)))</f>
        <v>0.542961856929551</v>
      </c>
      <c r="BK7" s="2" cm="1">
        <f t="array" ref="BK7">INDEX(动作!$I$3:$I$113,AL7)</f>
        <v>0</v>
      </c>
      <c r="BL7" s="6">
        <f ca="1">BB7*(1+BC7)*BF7*BH7*BJ7*BC$28*(1+BJ$25)</f>
        <v>0</v>
      </c>
      <c r="BM7" s="6">
        <f ca="1">BL7*AK$8</f>
        <v>0</v>
      </c>
      <c r="BN7" s="2" cm="1">
        <f t="array" ref="BN7">INDEX(云配队!$J7:$AC7,1,BN$1)</f>
        <v>0</v>
      </c>
      <c r="BO7" s="2" cm="1">
        <f t="array" ref="BO7">IFERROR(MATCH(1,(动作!$A$3:$A$111=$D7)*EXACT(动作!$B$3:$B$111,BN7),0),1)</f>
        <v>1</v>
      </c>
      <c r="BP7" s="2">
        <f>$I7*(1+$J7+BP$25)+$K7+BQ$25</f>
        <v>2329.21875</v>
      </c>
      <c r="BQ7" s="2">
        <f>$L7*(1+$M7+BR$25)+$N7+BS$25</f>
        <v>20834.8</v>
      </c>
      <c r="BR7" s="2">
        <f>$O7*(1+$P7+BT$25)+$Q7+BU$25</f>
        <v>909</v>
      </c>
      <c r="BS7" s="2">
        <f>$U7+BV$25</f>
        <v>0</v>
      </c>
      <c r="BT7" s="2" t="str" cm="1">
        <f t="array" ref="BT7">INDEX(动作!$C$3:$C$113,BO7)</f>
        <v>无</v>
      </c>
      <c r="BU7" s="2" cm="1">
        <f t="array" ref="BU7">INDEX(动作!$D$3:$D$113,BO7)</f>
        <v>0</v>
      </c>
      <c r="BV7" s="2" cm="1">
        <f t="array" ref="BV7">INDEX(动作!$E$3:$E$113,BO7)*$AH7</f>
        <v>0</v>
      </c>
      <c r="BW7" s="2" cm="1">
        <f t="array" ref="BW7">INDEX(动作!$F$3:$F$113,BO7)*$AH7</f>
        <v>0</v>
      </c>
      <c r="BX7" s="2" cm="1">
        <f t="array" ref="BX7">INDEX(动作!$G$3:$G$113,BO7)*$AH7</f>
        <v>0</v>
      </c>
      <c r="BY7" s="2" cm="1">
        <f t="array" ref="BY7">INDEX(动作!$H$3:$H$113,BO7)</f>
        <v>0</v>
      </c>
      <c r="BZ7" s="2" cm="1">
        <f t="array" ref="BZ7">INDEX(动作!$L$3:$L$113,BO7)*(1+BW$25)*BN$8</f>
        <v>0</v>
      </c>
      <c r="CA7" s="2" cm="1">
        <f t="array" ref="CA7">INDEX(动作!$K$3:$K$113,BO7)*BN$8</f>
        <v>0</v>
      </c>
      <c r="CB7" s="2" cm="1">
        <f t="array" ref="CB7">INDEX(动作!$J$3:$J$113,BO7)*BN$8</f>
        <v>0</v>
      </c>
      <c r="CC7" s="2" cm="1">
        <f t="array" ref="CC7">INDEX(动作!$N$3:$N$113,BO7)*BN$8</f>
        <v>0</v>
      </c>
      <c r="CD7" s="5">
        <f>(SUM(CB$4:CB$7)*(0.6+BY$25)+CB7*(0.4-BY$25))*(1+$T7+BX$25)+CC7</f>
        <v>0</v>
      </c>
      <c r="CE7" s="5">
        <f>BP7*BV7%+BQ7*BW7%+BR7*BX7%+BY7</f>
        <v>0</v>
      </c>
      <c r="CF7" s="3">
        <f ca="1">IFERROR(OFFSET($X7,0,MATCH(BT7,$Y$3:$AA$3,0)),0)+IF(BU7="心灵",$AB7,$X7)+IF(BU7="附着",$AC7,0)+IF(BU7="追击",$AD7,0)+CF$25+$W7+IF(BN$28,$AE$4,0)+CB12</f>
        <v>0.4</v>
      </c>
      <c r="CG7" s="3">
        <f>IF(BU7="DOT",50%,MIN($R7+CG$25+BZ12,1))</f>
        <v>0.75</v>
      </c>
      <c r="CH7" s="3">
        <f>$S7+CH$25+CA12</f>
        <v>1.36</v>
      </c>
      <c r="CI7" s="5">
        <f>1+CG7*CH7</f>
        <v>2.02</v>
      </c>
      <c r="CJ7" s="3">
        <f>1-$B$6+CJ$25+IF($C$6=$F7,$C$8,0)+$AG7+CD12</f>
        <v>0.8</v>
      </c>
      <c r="CK7" s="3">
        <f>IF(CJ7&lt;1,CJ7,(CJ7-1)*0.925+1)</f>
        <v>0.8</v>
      </c>
      <c r="CL7" s="3">
        <f>MIN($AF7+CL$25+CC12,1)</f>
        <v>0.25</v>
      </c>
      <c r="CM7" s="2">
        <f>IF(BU7="心灵",1,$B$4/($B$4+$C$4*(1-CL7)))</f>
        <v>0.568720379146919</v>
      </c>
      <c r="CN7" s="2" cm="1">
        <f t="array" ref="CN7">INDEX(动作!$I$3:$I$113,BO7)</f>
        <v>0</v>
      </c>
      <c r="CO7" s="6">
        <f ca="1">CE7*(1+CF7)*CI7*CK7*CM7*CF$28*(1+CM$25)</f>
        <v>0</v>
      </c>
      <c r="CP7" s="6">
        <f ca="1">CO7*BN$8</f>
        <v>0</v>
      </c>
      <c r="CQ7" s="2" cm="1">
        <f t="array" ref="CQ7">INDEX(云配队!$J7:$AC7,1,CQ$1)</f>
        <v>0</v>
      </c>
      <c r="CR7" s="2" cm="1">
        <f t="array" ref="CR7">IFERROR(MATCH(1,(动作!$A$3:$A$111=$D7)*EXACT(动作!$B$3:$B$111,CQ7),0),1)</f>
        <v>1</v>
      </c>
      <c r="CS7" s="2">
        <f>$I7*(1+$J7+CS$25)+$K7+CT$25</f>
        <v>2329.21875</v>
      </c>
      <c r="CT7" s="2">
        <f>$L7*(1+$M7+CU$25)+$N7+CV$25</f>
        <v>20834.8</v>
      </c>
      <c r="CU7" s="2">
        <f>$O7*(1+$P7+CW$25)+$Q7+CX$25</f>
        <v>909</v>
      </c>
      <c r="CV7" s="2">
        <f>$U7+CY$25</f>
        <v>0</v>
      </c>
      <c r="CW7" s="2" t="str" cm="1">
        <f t="array" ref="CW7">INDEX(动作!$C$3:$C$113,CR7)</f>
        <v>无</v>
      </c>
      <c r="CX7" s="2" cm="1">
        <f t="array" ref="CX7">INDEX(动作!$D$3:$D$113,CR7)</f>
        <v>0</v>
      </c>
      <c r="CY7" s="2" cm="1">
        <f t="array" ref="CY7">INDEX(动作!$E$3:$E$113,CR7)*$AH7</f>
        <v>0</v>
      </c>
      <c r="CZ7" s="2" cm="1">
        <f t="array" ref="CZ7">INDEX(动作!$F$3:$F$113,CR7)*$AH7</f>
        <v>0</v>
      </c>
      <c r="DA7" s="2" cm="1">
        <f t="array" ref="DA7">INDEX(动作!$G$3:$G$113,CR7)*$AH7</f>
        <v>0</v>
      </c>
      <c r="DB7" s="2" cm="1">
        <f t="array" ref="DB7">INDEX(动作!$H$3:$H$113,CR7)</f>
        <v>0</v>
      </c>
      <c r="DC7" s="2" cm="1">
        <f t="array" ref="DC7">INDEX(动作!$L$3:$L$113,CR7)*(1+CZ$25)*CQ$8</f>
        <v>0</v>
      </c>
      <c r="DD7" s="2" cm="1">
        <f t="array" ref="DD7">INDEX(动作!$K$3:$K$113,CR7)*CQ$8</f>
        <v>0</v>
      </c>
      <c r="DE7" s="2" cm="1">
        <f t="array" ref="DE7">INDEX(动作!$J$3:$J$113,CR7)*CQ$8</f>
        <v>0</v>
      </c>
      <c r="DF7" s="2" cm="1">
        <f t="array" ref="DF7">INDEX(动作!$N$3:$N$113,CR7)*CQ$8</f>
        <v>0</v>
      </c>
      <c r="DG7" s="5">
        <f>(SUM(DE$4:DE$7)*(0.6+DB$25)+DE7*(0.4-DB$25))*(1+$T7+DA$25)+DF7</f>
        <v>3.78</v>
      </c>
      <c r="DH7" s="5">
        <f>CS7*CY7%+CT7*CZ7%+CU7*DA7%+DB7</f>
        <v>0</v>
      </c>
      <c r="DI7" s="3">
        <f ca="1">IFERROR(OFFSET($X7,0,MATCH(CW7,$Y$3:$AA$3,0)),0)+IF(CX7="心灵",$AB7,$X7)+IF(CX7="附着",$AC7,0)+IF(CX7="追击",$AD7,0)+DI$25+$W7+IF(CQ$28,$AE$4,0)+DE12</f>
        <v>0.4</v>
      </c>
      <c r="DJ7" s="3">
        <f>IF(CX7="DOT",50%,MIN($R7+DJ$25+DC12,1))</f>
        <v>0.75</v>
      </c>
      <c r="DK7" s="3">
        <f>$S7+DK$25+DD12</f>
        <v>1.66</v>
      </c>
      <c r="DL7" s="5">
        <f>1+DJ7*DK7</f>
        <v>2.245</v>
      </c>
      <c r="DM7" s="3">
        <f>1-$B$6+DM$25+IF($C$6=$F7,$C$8,0)+$AG7+DG12</f>
        <v>0.8</v>
      </c>
      <c r="DN7" s="3">
        <f>IF(DM7&lt;1,DM7,(DM7-1)*0.925+1)</f>
        <v>0.8</v>
      </c>
      <c r="DO7" s="3">
        <f>MIN($AF7+DO$25+DF12,1)</f>
        <v>0</v>
      </c>
      <c r="DP7" s="2">
        <f>IF(CX7="心灵",1,$B$4/($B$4+$C$4*(1-DO7)))</f>
        <v>0.497237569060773</v>
      </c>
      <c r="DQ7" s="2" cm="1">
        <f t="array" ref="DQ7">INDEX(动作!$I$3:$I$113,CR7)</f>
        <v>0</v>
      </c>
      <c r="DR7" s="6">
        <f ca="1">DH7*(1+DI7)*DL7*DN7*DP7*DI$28*(1+DP$25)</f>
        <v>0</v>
      </c>
      <c r="DS7" s="6">
        <f ca="1">DR7*CQ$8</f>
        <v>0</v>
      </c>
      <c r="DT7" s="2" cm="1">
        <f t="array" ref="DT7">INDEX(云配队!$J7:$AC7,1,DT$1)</f>
        <v>0</v>
      </c>
      <c r="DU7" s="2" cm="1">
        <f t="array" ref="DU7">IFERROR(MATCH(1,(动作!$A$3:$A$111=$D7)*EXACT(动作!$B$3:$B$111,DT7),0),1)</f>
        <v>1</v>
      </c>
      <c r="DV7" s="2">
        <f>$I7*(1+$J7+DV$25)+$K7+DW$25</f>
        <v>2329.21875</v>
      </c>
      <c r="DW7" s="2">
        <f>$L7*(1+$M7+DX$25)+$N7+DY$25</f>
        <v>20834.8</v>
      </c>
      <c r="DX7" s="2">
        <f>$O7*(1+$P7+DZ$25)+$Q7+EA$25</f>
        <v>909</v>
      </c>
      <c r="DY7" s="2">
        <f>$U7+EB$25</f>
        <v>0</v>
      </c>
      <c r="DZ7" s="2" t="str" cm="1">
        <f t="array" ref="DZ7">INDEX(动作!$C$3:$C$113,DU7)</f>
        <v>无</v>
      </c>
      <c r="EA7" s="2" cm="1">
        <f t="array" ref="EA7">INDEX(动作!$D$3:$D$113,DU7)</f>
        <v>0</v>
      </c>
      <c r="EB7" s="2" cm="1">
        <f t="array" ref="EB7">INDEX(动作!$E$3:$E$113,DU7)*$AH7</f>
        <v>0</v>
      </c>
      <c r="EC7" s="2" cm="1">
        <f t="array" ref="EC7">INDEX(动作!$F$3:$F$113,DU7)*$AH7</f>
        <v>0</v>
      </c>
      <c r="ED7" s="2" cm="1">
        <f t="array" ref="ED7">INDEX(动作!$G$3:$G$113,DU7)*$AH7</f>
        <v>0</v>
      </c>
      <c r="EE7" s="2" cm="1">
        <f t="array" ref="EE7">INDEX(动作!$H$3:$H$113,DU7)</f>
        <v>0</v>
      </c>
      <c r="EF7" s="2" cm="1">
        <f t="array" ref="EF7">INDEX(动作!$L$3:$L$113,DU7)*(1+EC$25)*DT$8</f>
        <v>0</v>
      </c>
      <c r="EG7" s="2" cm="1">
        <f t="array" ref="EG7">INDEX(动作!$K$3:$K$113,DU7)*DT$8</f>
        <v>0</v>
      </c>
      <c r="EH7" s="2" cm="1">
        <f t="array" ref="EH7">INDEX(动作!$J$3:$J$113,DU7)*DT$8</f>
        <v>0</v>
      </c>
      <c r="EI7" s="2" cm="1">
        <f t="array" ref="EI7">INDEX(动作!$N$3:$N$113,DU7)*DT$8</f>
        <v>0</v>
      </c>
      <c r="EJ7" s="5">
        <f>(SUM(EH$4:EH$7)*(0.6+EE$25)+EH7*(0.4-EE$25))*(1+$T7+ED$25)+EI7</f>
        <v>0</v>
      </c>
      <c r="EK7" s="5">
        <f>DV7*EB7%+DW7*EC7%+DX7*ED7%+EE7</f>
        <v>0</v>
      </c>
      <c r="EL7" s="3">
        <f ca="1">IFERROR(OFFSET($X7,0,MATCH(DZ7,$Y$3:$AA$3,0)),0)+IF(EA7="心灵",$AB7,$X7)+IF(EA7="附着",$AC7,0)+IF(EA7="追击",$AD7,0)+EL$25+$W7+IF(DT$28,$AE$4,0)+EH12</f>
        <v>0.5</v>
      </c>
      <c r="EM7" s="3">
        <f>IF(EA7="DOT",50%,MIN($R7+EM$25+EF12,1))</f>
        <v>0.75</v>
      </c>
      <c r="EN7" s="3">
        <f>$S7+EN$25+EG12</f>
        <v>1.66</v>
      </c>
      <c r="EO7" s="5">
        <f>1+EM7*EN7</f>
        <v>2.245</v>
      </c>
      <c r="EP7" s="3">
        <f>1-$B$6+EP$25+IF($C$6=$F7,$C$8,0)+$AG7+EJ12</f>
        <v>0.8</v>
      </c>
      <c r="EQ7" s="3">
        <f>IF(EP7&lt;1,EP7,(EP7-1)*0.925+1)</f>
        <v>0.8</v>
      </c>
      <c r="ER7" s="3">
        <f>MIN($AF7+ER$25+EI12,1)</f>
        <v>0</v>
      </c>
      <c r="ES7" s="2">
        <f>IF(EA7="心灵",1,$B$4/($B$4+$C$4*(1-ER7)))</f>
        <v>0.497237569060773</v>
      </c>
      <c r="ET7" s="2" cm="1">
        <f t="array" ref="ET7">INDEX(动作!$I$3:$I$113,DU7)</f>
        <v>0</v>
      </c>
      <c r="EU7" s="6">
        <f ca="1">EK7*(1+EL7)*EO7*EQ7*ES7*EL$28*(1+ES$25)</f>
        <v>0</v>
      </c>
      <c r="EV7" s="6">
        <f ca="1">EU7*DT$8</f>
        <v>0</v>
      </c>
      <c r="EW7" s="2" cm="1">
        <f t="array" ref="EW7">INDEX(云配队!$J7:$AC7,1,EW$1)</f>
        <v>0</v>
      </c>
      <c r="EX7" s="2" cm="1">
        <f t="array" ref="EX7">IFERROR(MATCH(1,(动作!$A$3:$A$111=$D7)*EXACT(动作!$B$3:$B$111,EW7),0),1)</f>
        <v>1</v>
      </c>
      <c r="EY7" s="2">
        <f>$I7*(1+$J7+EY$25)+$K7+EZ$25</f>
        <v>2329.21875</v>
      </c>
      <c r="EZ7" s="2">
        <f>$L7*(1+$M7+FA$25)+$N7+FB$25</f>
        <v>20834.8</v>
      </c>
      <c r="FA7" s="2">
        <f>$O7*(1+$P7+FC$25)+$Q7+FD$25</f>
        <v>909</v>
      </c>
      <c r="FB7" s="2">
        <f>$U7+FE$25</f>
        <v>0</v>
      </c>
      <c r="FC7" s="2" t="str" cm="1">
        <f t="array" ref="FC7">INDEX(动作!$C$3:$C$113,EX7)</f>
        <v>无</v>
      </c>
      <c r="FD7" s="2" cm="1">
        <f t="array" ref="FD7">INDEX(动作!$D$3:$D$113,EX7)</f>
        <v>0</v>
      </c>
      <c r="FE7" s="2" cm="1">
        <f t="array" ref="FE7">INDEX(动作!$E$3:$E$113,EX7)*$AH7</f>
        <v>0</v>
      </c>
      <c r="FF7" s="2" cm="1">
        <f t="array" ref="FF7">INDEX(动作!$F$3:$F$113,EX7)*$AH7</f>
        <v>0</v>
      </c>
      <c r="FG7" s="2" cm="1">
        <f t="array" ref="FG7">INDEX(动作!$G$3:$G$113,EX7)*$AH7</f>
        <v>0</v>
      </c>
      <c r="FH7" s="2" cm="1">
        <f t="array" ref="FH7">INDEX(动作!$H$3:$H$113,EX7)</f>
        <v>0</v>
      </c>
      <c r="FI7" s="2" cm="1">
        <f t="array" ref="FI7">INDEX(动作!$L$3:$L$113,EX7)*(1+FF$25)*EW$8</f>
        <v>0</v>
      </c>
      <c r="FJ7" s="2" cm="1">
        <f t="array" ref="FJ7">INDEX(动作!$K$3:$K$113,EX7)*EW$8</f>
        <v>0</v>
      </c>
      <c r="FK7" s="2" cm="1">
        <f t="array" ref="FK7">INDEX(动作!$J$3:$J$113,EX7)*EW$8</f>
        <v>0</v>
      </c>
      <c r="FL7" s="2" cm="1">
        <f t="array" ref="FL7">INDEX(动作!$N$3:$N$113,EX7)*EW$8</f>
        <v>0</v>
      </c>
      <c r="FM7" s="5">
        <f>(SUM(FK$4:FK$7)*(0.6+FH$25)+FK7*(0.4-FH$25))*(1+$T7+FG$25)+FL7</f>
        <v>19.9188</v>
      </c>
      <c r="FN7" s="5">
        <f>EY7*FE7%+EZ7*FF7%+FA7*FG7%+FH7</f>
        <v>0</v>
      </c>
      <c r="FO7" s="3">
        <f ca="1">IFERROR(OFFSET($X7,0,MATCH(FC7,$Y$3:$AA$3,0)),0)+IF(FD7="心灵",$AB7,$X7)+IF(FD7="附着",$AC7,0)+IF(FD7="追击",$AD7,0)+FO$25+$W7+IF(EW$28,$AE$4,0)+FK12</f>
        <v>0.5875</v>
      </c>
      <c r="FP7" s="3">
        <f>IF(FD7="DOT",50%,MIN($R7+FP$25+FI12,1))</f>
        <v>0.75</v>
      </c>
      <c r="FQ7" s="3">
        <f>$S7+FQ$25+FJ12</f>
        <v>1.66</v>
      </c>
      <c r="FR7" s="5">
        <f>1+FP7*FQ7</f>
        <v>2.245</v>
      </c>
      <c r="FS7" s="3">
        <f>1-$B$6+FS$25+IF($C$6=$F7,$C$8,0)+$AG7+FM12</f>
        <v>0.8</v>
      </c>
      <c r="FT7" s="3">
        <f>IF(FS7&lt;1,FS7,(FS7-1)*0.925+1)</f>
        <v>0.8</v>
      </c>
      <c r="FU7" s="3">
        <f>MIN($AF7+FU$25+FL12,1)</f>
        <v>0</v>
      </c>
      <c r="FV7" s="2">
        <f>IF(FD7="心灵",1,$B$4/($B$4+$C$4*(1-FU7)))</f>
        <v>0.497237569060773</v>
      </c>
      <c r="FW7" s="2" cm="1">
        <f t="array" ref="FW7">INDEX(动作!$I$3:$I$113,EX7)</f>
        <v>0</v>
      </c>
      <c r="FX7" s="6">
        <f ca="1">FN7*(1+FO7)*FR7*FT7*FV7*FO$28*(1+FV$25)</f>
        <v>0</v>
      </c>
      <c r="FY7" s="6">
        <f ca="1">FX7*EW$8</f>
        <v>0</v>
      </c>
      <c r="FZ7" s="2" cm="1">
        <f t="array" ref="FZ7">INDEX(云配队!$J7:$AC7,1,FZ$1)</f>
        <v>0</v>
      </c>
      <c r="GA7" s="2" cm="1">
        <f t="array" ref="GA7">IFERROR(MATCH(1,(动作!$A$3:$A$111=$D7)*EXACT(动作!$B$3:$B$111,FZ7),0),1)</f>
        <v>1</v>
      </c>
      <c r="GB7" s="2">
        <f>$I7*(1+$J7+GB$25)+$K7+GC$25</f>
        <v>2329.21875</v>
      </c>
      <c r="GC7" s="2">
        <f>$L7*(1+$M7+GD$25)+$N7+GE$25</f>
        <v>20834.8</v>
      </c>
      <c r="GD7" s="2">
        <f>$O7*(1+$P7+GF$25)+$Q7+GG$25</f>
        <v>909</v>
      </c>
      <c r="GE7" s="2">
        <f>$U7+GH$25</f>
        <v>0</v>
      </c>
      <c r="GF7" s="2" t="str" cm="1">
        <f t="array" ref="GF7">INDEX(动作!$C$3:$C$113,GA7)</f>
        <v>无</v>
      </c>
      <c r="GG7" s="2" cm="1">
        <f t="array" ref="GG7">INDEX(动作!$D$3:$D$113,GA7)</f>
        <v>0</v>
      </c>
      <c r="GH7" s="2" cm="1">
        <f t="array" ref="GH7">INDEX(动作!$E$3:$E$113,GA7)*$AH7</f>
        <v>0</v>
      </c>
      <c r="GI7" s="2" cm="1">
        <f t="array" ref="GI7">INDEX(动作!$F$3:$F$113,GA7)*$AH7</f>
        <v>0</v>
      </c>
      <c r="GJ7" s="2" cm="1">
        <f t="array" ref="GJ7">INDEX(动作!$G$3:$G$113,GA7)*$AH7</f>
        <v>0</v>
      </c>
      <c r="GK7" s="2" cm="1">
        <f t="array" ref="GK7">INDEX(动作!$H$3:$H$113,GA7)</f>
        <v>0</v>
      </c>
      <c r="GL7" s="2" cm="1">
        <f t="array" ref="GL7">INDEX(动作!$L$3:$L$113,GA7)*(1+GI$25)*FZ$8</f>
        <v>0</v>
      </c>
      <c r="GM7" s="2" cm="1">
        <f t="array" ref="GM7">INDEX(动作!$K$3:$K$113,GA7)*FZ$8</f>
        <v>0</v>
      </c>
      <c r="GN7" s="2" cm="1">
        <f t="array" ref="GN7">INDEX(动作!$J$3:$J$113,GA7)*FZ$8</f>
        <v>0</v>
      </c>
      <c r="GO7" s="2" cm="1">
        <f t="array" ref="GO7">INDEX(动作!$N$3:$N$113,GA7)*FZ$8</f>
        <v>0</v>
      </c>
      <c r="GP7" s="5">
        <f>(SUM(GN$4:GN$7)*(0.6+GK$25)+GN7*(0.4-GK$25))*(1+$T7+GJ$25)+GO7</f>
        <v>0</v>
      </c>
      <c r="GQ7" s="5">
        <f>GB7*GH7%+GC7*GI7%+GD7*GJ7%+GK7</f>
        <v>0</v>
      </c>
      <c r="GR7" s="3">
        <f ca="1">IFERROR(OFFSET($X7,0,MATCH(GF7,$Y$3:$AA$3,0)),0)+IF(GG7="心灵",$AB7,$X7)+IF(GG7="附着",$AC7,0)+IF(GG7="追击",$AD7,0)+GR$25+$W7+IF(FZ$28,$AE$4,0)+GN12</f>
        <v>0.65</v>
      </c>
      <c r="GS7" s="3">
        <f>IF(GG7="DOT",50%,MIN($R7+GS$25+GL12,1))</f>
        <v>0.75</v>
      </c>
      <c r="GT7" s="3">
        <f>$S7+GT$25+GM12</f>
        <v>1.66</v>
      </c>
      <c r="GU7" s="5">
        <f>1+GS7*GT7</f>
        <v>2.245</v>
      </c>
      <c r="GV7" s="3">
        <f>1-$B$6+GV$25+IF($C$6=$F7,$C$8,0)+$AG7+GP12</f>
        <v>0.8</v>
      </c>
      <c r="GW7" s="3">
        <f>IF(GV7&lt;1,GV7,(GV7-1)*0.925+1)</f>
        <v>0.8</v>
      </c>
      <c r="GX7" s="3">
        <f>MIN($AF7+GX$25+GO12,1)</f>
        <v>0</v>
      </c>
      <c r="GY7" s="2">
        <f>IF(GG7="心灵",1,$B$4/($B$4+$C$4*(1-GX7)))</f>
        <v>0.497237569060773</v>
      </c>
      <c r="GZ7" s="2" cm="1">
        <f t="array" ref="GZ7">INDEX(动作!$I$3:$I$113,GA7)</f>
        <v>0</v>
      </c>
      <c r="HA7" s="6">
        <f ca="1">GQ7*(1+GR7)*GU7*GW7*GY7*GR$28*(1+GY$25)</f>
        <v>0</v>
      </c>
      <c r="HB7" s="6">
        <f ca="1">HA7*FZ$8</f>
        <v>0</v>
      </c>
      <c r="HC7" s="2" cm="1">
        <f t="array" ref="HC7">INDEX(云配队!$J7:$AC7,1,HC$1)</f>
        <v>0</v>
      </c>
      <c r="HD7" s="2" cm="1">
        <f t="array" ref="HD7">IFERROR(MATCH(1,(动作!$A$3:$A$111=$D7)*EXACT(动作!$B$3:$B$111,HC7),0),1)</f>
        <v>1</v>
      </c>
      <c r="HE7" s="2">
        <f>$I7*(1+$J7+HE$25)+$K7+HF$25</f>
        <v>2329.21875</v>
      </c>
      <c r="HF7" s="2">
        <f>$L7*(1+$M7+HG$25)+$N7+HH$25</f>
        <v>20834.8</v>
      </c>
      <c r="HG7" s="2">
        <f>$O7*(1+$P7+HI$25)+$Q7+HJ$25</f>
        <v>909</v>
      </c>
      <c r="HH7" s="2">
        <f>$U7+HK$25</f>
        <v>0</v>
      </c>
      <c r="HI7" s="2" t="str" cm="1">
        <f t="array" ref="HI7">INDEX(动作!$C$3:$C$113,HD7)</f>
        <v>无</v>
      </c>
      <c r="HJ7" s="2" cm="1">
        <f t="array" ref="HJ7">INDEX(动作!$D$3:$D$113,HD7)</f>
        <v>0</v>
      </c>
      <c r="HK7" s="2" cm="1">
        <f t="array" ref="HK7">INDEX(动作!$E$3:$E$113,HD7)*$AH7</f>
        <v>0</v>
      </c>
      <c r="HL7" s="2" cm="1">
        <f t="array" ref="HL7">INDEX(动作!$F$3:$F$113,HD7)*$AH7</f>
        <v>0</v>
      </c>
      <c r="HM7" s="2" cm="1">
        <f t="array" ref="HM7">INDEX(动作!$G$3:$G$113,HD7)*$AH7</f>
        <v>0</v>
      </c>
      <c r="HN7" s="2" cm="1">
        <f t="array" ref="HN7">INDEX(动作!$H$3:$H$113,HD7)</f>
        <v>0</v>
      </c>
      <c r="HO7" s="2" cm="1">
        <f t="array" ref="HO7">INDEX(动作!$L$3:$L$113,HD7)*(1+HL$25)*HC$8</f>
        <v>0</v>
      </c>
      <c r="HP7" s="2" cm="1">
        <f t="array" ref="HP7">INDEX(动作!$K$3:$K$113,HD7)*HC$8</f>
        <v>0</v>
      </c>
      <c r="HQ7" s="2" cm="1">
        <f t="array" ref="HQ7">INDEX(动作!$J$3:$J$113,HD7)*HC$8</f>
        <v>0</v>
      </c>
      <c r="HR7" s="2" cm="1">
        <f t="array" ref="HR7">INDEX(动作!$N$3:$N$113,HD7)*HC$8</f>
        <v>0</v>
      </c>
      <c r="HS7" s="5">
        <f>(SUM(HQ$4:HQ$7)*(0.6+HN$25)+HQ7*(0.4-HN$25))*(1+$T7+HM$25)+HR7</f>
        <v>7.56</v>
      </c>
      <c r="HT7" s="5">
        <f>HE7*HK7%+HF7*HL7%+HG7*HM7%+HN7</f>
        <v>0</v>
      </c>
      <c r="HU7" s="3">
        <f ca="1">IFERROR(OFFSET($X7,0,MATCH(HI7,$Y$3:$AA$3,0)),0)+IF(HJ7="心灵",$AB7,$X7)+IF(HJ7="附着",$AC7,0)+IF(HJ7="追击",$AD7,0)+HU$25+$W7+IF(HC$28,$AE$4,0)+HQ12</f>
        <v>0.475</v>
      </c>
      <c r="HV7" s="3">
        <f>IF(HJ7="DOT",50%,MIN($R7+HV$25+HO12,1))</f>
        <v>0.75</v>
      </c>
      <c r="HW7" s="3">
        <f>$S7+HW$25+HP12</f>
        <v>1.66</v>
      </c>
      <c r="HX7" s="5">
        <f>1+HV7*HW7</f>
        <v>2.245</v>
      </c>
      <c r="HY7" s="3">
        <f>1-$B$6+HY$25+IF($C$6=$F7,$C$8,0)+$AG7+HS12</f>
        <v>0.8</v>
      </c>
      <c r="HZ7" s="3">
        <f>IF(HY7&lt;1,HY7,(HY7-1)*0.925+1)</f>
        <v>0.8</v>
      </c>
      <c r="IA7" s="3">
        <f>MIN($AF7+IA$25+HR12,1)</f>
        <v>0</v>
      </c>
      <c r="IB7" s="2">
        <f>IF(HJ7="心灵",1,$B$4/($B$4+$C$4*(1-IA7)))</f>
        <v>0.497237569060773</v>
      </c>
      <c r="IC7" s="2" cm="1">
        <f t="array" ref="IC7">INDEX(动作!$I$3:$I$113,HD7)</f>
        <v>0</v>
      </c>
      <c r="ID7" s="6">
        <f ca="1">HT7*(1+HU7)*HX7*HZ7*IB7*HU$28*(1+IB$25)</f>
        <v>0</v>
      </c>
      <c r="IE7" s="6">
        <f ca="1">ID7*HC$8</f>
        <v>0</v>
      </c>
      <c r="IF7" s="2" cm="1">
        <f t="array" ref="IF7">INDEX(云配队!$J7:$AC7,1,IF$1)</f>
        <v>0</v>
      </c>
      <c r="IG7" s="2" cm="1">
        <f t="array" ref="IG7">IFERROR(MATCH(1,(动作!$A$3:$A$111=$D7)*EXACT(动作!$B$3:$B$111,IF7),0),1)</f>
        <v>1</v>
      </c>
      <c r="IH7" s="2">
        <f>$I7*(1+$J7+IH$25)+$K7+II$25</f>
        <v>2329.21875</v>
      </c>
      <c r="II7" s="2">
        <f>$L7*(1+$M7+IJ$25)+$N7+IK$25</f>
        <v>20834.8</v>
      </c>
      <c r="IJ7" s="2">
        <f>$O7*(1+$P7+IL$25)+$Q7+IM$25</f>
        <v>909</v>
      </c>
      <c r="IK7" s="2">
        <f>$U7+IN$25</f>
        <v>0</v>
      </c>
      <c r="IL7" s="2" t="str" cm="1">
        <f t="array" ref="IL7">INDEX(动作!$C$3:$C$113,IG7)</f>
        <v>无</v>
      </c>
      <c r="IM7" s="2" cm="1">
        <f t="array" ref="IM7">INDEX(动作!$D$3:$D$113,IG7)</f>
        <v>0</v>
      </c>
      <c r="IN7" s="2" cm="1">
        <f t="array" ref="IN7">INDEX(动作!$E$3:$E$113,IG7)*$AH7</f>
        <v>0</v>
      </c>
      <c r="IO7" s="2" cm="1">
        <f t="array" ref="IO7">INDEX(动作!$F$3:$F$113,IG7)*$AH7</f>
        <v>0</v>
      </c>
      <c r="IP7" s="2" cm="1">
        <f t="array" ref="IP7">INDEX(动作!$G$3:$G$113,IG7)*$AH7</f>
        <v>0</v>
      </c>
      <c r="IQ7" s="2" cm="1">
        <f t="array" ref="IQ7">INDEX(动作!$H$3:$H$113,IG7)</f>
        <v>0</v>
      </c>
      <c r="IR7" s="2" cm="1">
        <f t="array" ref="IR7">INDEX(动作!$L$3:$L$113,IG7)*(1+IO$25)*IF$8</f>
        <v>0</v>
      </c>
      <c r="IS7" s="2" cm="1">
        <f t="array" ref="IS7">INDEX(动作!$K$3:$K$113,IG7)*IF$8</f>
        <v>0</v>
      </c>
      <c r="IT7" s="2" cm="1">
        <f t="array" ref="IT7">INDEX(动作!$J$3:$J$113,IG7)*IF$8</f>
        <v>0</v>
      </c>
      <c r="IU7" s="2" cm="1">
        <f t="array" ref="IU7">INDEX(动作!$N$3:$N$113,IG7)*IF$8</f>
        <v>0</v>
      </c>
      <c r="IV7" s="5">
        <f>(SUM(IT$4:IT$7)*(0.6+IQ$25)+IT7*(0.4-IQ$25))*(1+$T7+IP$25)+IU7</f>
        <v>0</v>
      </c>
      <c r="IW7" s="5">
        <f>IH7*IN7%+II7*IO7%+IJ7*IP7%+IQ7</f>
        <v>0</v>
      </c>
      <c r="IX7" s="3">
        <f ca="1">IFERROR(OFFSET($X7,0,MATCH(IL7,$Y$3:$AA$3,0)),0)+IF(IM7="心灵",$AB7,$X7)+IF(IM7="附着",$AC7,0)+IF(IM7="追击",$AD7,0)+IX$25+$W7+IF(IF$28,$AE$4,0)+IT12</f>
        <v>0.65</v>
      </c>
      <c r="IY7" s="3">
        <f>IF(IM7="DOT",50%,MIN($R7+IY$25+IR12,1))</f>
        <v>0.75</v>
      </c>
      <c r="IZ7" s="3">
        <f>$S7+IZ$25+IS12</f>
        <v>1.66</v>
      </c>
      <c r="JA7" s="5">
        <f>1+IY7*IZ7</f>
        <v>2.245</v>
      </c>
      <c r="JB7" s="3">
        <f>1-$B$6+JB$25+IF($C$6=$F7,$C$8,0)+$AG7+IV12</f>
        <v>0.8</v>
      </c>
      <c r="JC7" s="3">
        <f>IF(JB7&lt;1,JB7,(JB7-1)*0.925+1)</f>
        <v>0.8</v>
      </c>
      <c r="JD7" s="3">
        <f>MIN($AF7+JD$25+IU12,1)</f>
        <v>0</v>
      </c>
      <c r="JE7" s="2">
        <f>IF(IM7="心灵",1,$B$4/($B$4+$C$4*(1-JD7)))</f>
        <v>0.497237569060773</v>
      </c>
      <c r="JF7" s="2" cm="1">
        <f t="array" ref="JF7">INDEX(动作!$I$3:$I$113,IG7)</f>
        <v>0</v>
      </c>
      <c r="JG7" s="6">
        <f ca="1">IW7*(1+IX7)*JA7*JC7*JE7*IX$28*(1+JE$25)</f>
        <v>0</v>
      </c>
      <c r="JH7" s="6">
        <f ca="1">JG7*IF$8</f>
        <v>0</v>
      </c>
      <c r="JI7" s="2" cm="1">
        <f t="array" ref="JI7">INDEX(云配队!$J7:$AC7,1,JI$1)</f>
        <v>0</v>
      </c>
      <c r="JJ7" s="2" cm="1">
        <f t="array" ref="JJ7">IFERROR(MATCH(1,(动作!$A$3:$A$111=$D7)*EXACT(动作!$B$3:$B$111,JI7),0),1)</f>
        <v>1</v>
      </c>
      <c r="JK7" s="2">
        <f>$I7*(1+$J7+JK$25)+$K7+JL$25</f>
        <v>2329.21875</v>
      </c>
      <c r="JL7" s="2">
        <f>$L7*(1+$M7+JM$25)+$N7+JN$25</f>
        <v>20834.8</v>
      </c>
      <c r="JM7" s="2">
        <f>$O7*(1+$P7+JO$25)+$Q7+JP$25</f>
        <v>909</v>
      </c>
      <c r="JN7" s="2">
        <f>$U7+JQ$25</f>
        <v>0</v>
      </c>
      <c r="JO7" s="2" t="str" cm="1">
        <f t="array" ref="JO7">INDEX(动作!$C$3:$C$113,JJ7)</f>
        <v>无</v>
      </c>
      <c r="JP7" s="2" cm="1">
        <f t="array" ref="JP7">INDEX(动作!$D$3:$D$113,JJ7)</f>
        <v>0</v>
      </c>
      <c r="JQ7" s="2" cm="1">
        <f t="array" ref="JQ7">INDEX(动作!$E$3:$E$113,JJ7)*$AH7</f>
        <v>0</v>
      </c>
      <c r="JR7" s="2" cm="1">
        <f t="array" ref="JR7">INDEX(动作!$F$3:$F$113,JJ7)*$AH7</f>
        <v>0</v>
      </c>
      <c r="JS7" s="2" cm="1">
        <f t="array" ref="JS7">INDEX(动作!$G$3:$G$113,JJ7)*$AH7</f>
        <v>0</v>
      </c>
      <c r="JT7" s="2" cm="1">
        <f t="array" ref="JT7">INDEX(动作!$H$3:$H$113,JJ7)</f>
        <v>0</v>
      </c>
      <c r="JU7" s="2" cm="1">
        <f t="array" ref="JU7">INDEX(动作!$L$3:$L$113,JJ7)*(1+JR$25)*JI$8</f>
        <v>0</v>
      </c>
      <c r="JV7" s="2" cm="1">
        <f t="array" ref="JV7">INDEX(动作!$K$3:$K$113,JJ7)*JI$8</f>
        <v>0</v>
      </c>
      <c r="JW7" s="2" cm="1">
        <f t="array" ref="JW7">INDEX(动作!$J$3:$J$113,JJ7)*JI$8</f>
        <v>0</v>
      </c>
      <c r="JX7" s="2" cm="1">
        <f t="array" ref="JX7">INDEX(动作!$N$3:$N$113,JJ7)*JI$8</f>
        <v>0</v>
      </c>
      <c r="JY7" s="5">
        <f>(SUM(JW$4:JW$7)*(0.6+JT$25)+JW7*(0.4-JT$25))*(1+$T7+JS$25)+JX7</f>
        <v>0</v>
      </c>
      <c r="JZ7" s="5">
        <f>JK7*JQ7%+JL7*JR7%+JM7*JS7%+JT7</f>
        <v>0</v>
      </c>
      <c r="KA7" s="3">
        <f ca="1">IFERROR(OFFSET($X7,0,MATCH(JO7,$Y$3:$AA$3,0)),0)+IF(JP7="心灵",$AB7,$X7)+IF(JP7="附着",$AC7,0)+IF(JP7="追击",$AD7,0)+KA$25+$W7+IF(JI$28,$AE$4,0)+JW12</f>
        <v>0.4</v>
      </c>
      <c r="KB7" s="3">
        <f>IF(JP7="DOT",50%,MIN($R7+KB$25+JU12,1))</f>
        <v>0.75</v>
      </c>
      <c r="KC7" s="3">
        <f>$S7+KC$25+JV12</f>
        <v>1.36</v>
      </c>
      <c r="KD7" s="5">
        <f>1+KB7*KC7</f>
        <v>2.02</v>
      </c>
      <c r="KE7" s="3">
        <f>1-$B$6+KE$25+IF($C$6=$F7,$C$8,0)+$AG7+JY12</f>
        <v>0.8</v>
      </c>
      <c r="KF7" s="3">
        <f>IF(KE7&lt;1,KE7,(KE7-1)*0.925+1)</f>
        <v>0.8</v>
      </c>
      <c r="KG7" s="3">
        <f>MIN($AF7+KG$25+JX12,1)</f>
        <v>0</v>
      </c>
      <c r="KH7" s="2">
        <f>IF(JP7="心灵",1,$B$4/($B$4+$C$4*(1-KG7)))</f>
        <v>0.497237569060773</v>
      </c>
      <c r="KI7" s="2" cm="1">
        <f t="array" ref="KI7">INDEX(动作!$I$3:$I$113,JJ7)</f>
        <v>0</v>
      </c>
      <c r="KJ7" s="6">
        <f ca="1">JZ7*(1+KA7)*KD7*KF7*KH7*KA$28*(1+KH$25)</f>
        <v>0</v>
      </c>
      <c r="KK7" s="6">
        <f ca="1">KJ7*JI$8</f>
        <v>0</v>
      </c>
      <c r="KL7" s="2" cm="1">
        <f t="array" ref="KL7">INDEX(云配队!$J7:$AC7,1,KL$1)</f>
        <v>0</v>
      </c>
      <c r="KM7" s="2" cm="1">
        <f t="array" ref="KM7">IFERROR(MATCH(1,(动作!$A$3:$A$111=$D7)*EXACT(动作!$B$3:$B$111,KL7),0),1)</f>
        <v>1</v>
      </c>
      <c r="KN7" s="2">
        <f>$I7*(1+$J7+KN$25)+$K7+KO$25</f>
        <v>2329.21875</v>
      </c>
      <c r="KO7" s="2">
        <f>$L7*(1+$M7+KP$25)+$N7+KQ$25</f>
        <v>20834.8</v>
      </c>
      <c r="KP7" s="2">
        <f>$O7*(1+$P7+KR$25)+$Q7+KS$25</f>
        <v>909</v>
      </c>
      <c r="KQ7" s="2">
        <f>$U7+KT$25</f>
        <v>0</v>
      </c>
      <c r="KR7" s="2" t="str" cm="1">
        <f t="array" ref="KR7">INDEX(动作!$C$3:$C$113,KM7)</f>
        <v>无</v>
      </c>
      <c r="KS7" s="2" cm="1">
        <f t="array" ref="KS7">INDEX(动作!$D$3:$D$113,KM7)</f>
        <v>0</v>
      </c>
      <c r="KT7" s="2" cm="1">
        <f t="array" ref="KT7">INDEX(动作!$E$3:$E$113,KM7)*$AH7</f>
        <v>0</v>
      </c>
      <c r="KU7" s="2" cm="1">
        <f t="array" ref="KU7">INDEX(动作!$F$3:$F$113,KM7)*$AH7</f>
        <v>0</v>
      </c>
      <c r="KV7" s="2" cm="1">
        <f t="array" ref="KV7">INDEX(动作!$G$3:$G$113,KM7)*$AH7</f>
        <v>0</v>
      </c>
      <c r="KW7" s="2" cm="1">
        <f t="array" ref="KW7">INDEX(动作!$H$3:$H$113,KM7)</f>
        <v>0</v>
      </c>
      <c r="KX7" s="2" cm="1">
        <f t="array" ref="KX7">INDEX(动作!$L$3:$L$113,KM7)*(1+KU$25)*KL$8</f>
        <v>0</v>
      </c>
      <c r="KY7" s="2" cm="1">
        <f t="array" ref="KY7">INDEX(动作!$K$3:$K$113,KM7)*KL$8</f>
        <v>0</v>
      </c>
      <c r="KZ7" s="2" cm="1">
        <f t="array" ref="KZ7">INDEX(动作!$J$3:$J$113,KM7)*KL$8</f>
        <v>0</v>
      </c>
      <c r="LA7" s="2" cm="1">
        <f t="array" ref="LA7">INDEX(动作!$N$3:$N$113,KM7)*KL$8</f>
        <v>0</v>
      </c>
      <c r="LB7" s="5">
        <f>(SUM(KZ$4:KZ$7)*(0.6+KW$25)+KZ7*(0.4-KW$25))*(1+$T7+KV$25)+LA7</f>
        <v>0</v>
      </c>
      <c r="LC7" s="5">
        <f>KN7*KT7%+KO7*KU7%+KP7*KV7%+KW7</f>
        <v>0</v>
      </c>
      <c r="LD7" s="3">
        <f ca="1">IFERROR(OFFSET($X7,0,MATCH(KR7,$Y$3:$AA$3,0)),0)+IF(KS7="心灵",$AB7,$X7)+IF(KS7="附着",$AC7,0)+IF(KS7="追击",$AD7,0)+LD$25+$W7+IF(KL$28,$AE$4,0)+KZ12</f>
        <v>1.1</v>
      </c>
      <c r="LE7" s="3">
        <f>IF(KS7="DOT",50%,MIN($R7+LE$25+KX12,1))</f>
        <v>0.75</v>
      </c>
      <c r="LF7" s="3">
        <f>$S7+LF$25+KY12</f>
        <v>1.36</v>
      </c>
      <c r="LG7" s="5">
        <f>1+LE7*LF7</f>
        <v>2.02</v>
      </c>
      <c r="LH7" s="3">
        <f>1-$B$6+LH$25+IF($C$6=$F7,$C$8,0)+$AG7+LB12</f>
        <v>0.8</v>
      </c>
      <c r="LI7" s="3">
        <f>IF(LH7&lt;1,LH7,(LH7-1)*0.925+1)</f>
        <v>0.8</v>
      </c>
      <c r="LJ7" s="3">
        <f>MIN($AF7+LJ$25+LA12,1)</f>
        <v>0</v>
      </c>
      <c r="LK7" s="2">
        <f>IF(KS7="心灵",1,$B$4/($B$4+$C$4*(1-LJ7)))</f>
        <v>0.497237569060773</v>
      </c>
      <c r="LL7" s="2" cm="1">
        <f t="array" ref="LL7">INDEX(动作!$I$3:$I$113,KM7)</f>
        <v>0</v>
      </c>
      <c r="LM7" s="6">
        <f ca="1">LC7*(1+LD7)*LG7*LI7*LK7*LD$28*(1+LK$25)</f>
        <v>0</v>
      </c>
      <c r="LN7" s="6">
        <f ca="1">LM7*KL$8</f>
        <v>0</v>
      </c>
      <c r="LO7" s="2" cm="1">
        <f t="array" ref="LO7">INDEX(云配队!$J7:$AC7,1,LO$1)</f>
        <v>0</v>
      </c>
      <c r="LP7" s="2" cm="1">
        <f t="array" ref="LP7">IFERROR(MATCH(1,(动作!$A$3:$A$111=$D7)*EXACT(动作!$B$3:$B$111,LO7),0),1)</f>
        <v>1</v>
      </c>
      <c r="LQ7" s="2">
        <f>$I7*(1+$J7+LQ$25)+$K7+LR$25</f>
        <v>2329.21875</v>
      </c>
      <c r="LR7" s="2">
        <f>$L7*(1+$M7+LS$25)+$N7+LT$25</f>
        <v>20834.8</v>
      </c>
      <c r="LS7" s="2">
        <f>$O7*(1+$P7+LU$25)+$Q7+LV$25</f>
        <v>909</v>
      </c>
      <c r="LT7" s="2">
        <f>$U7+LW$25</f>
        <v>0</v>
      </c>
      <c r="LU7" s="2" t="str" cm="1">
        <f t="array" ref="LU7">INDEX(动作!$C$3:$C$113,LP7)</f>
        <v>无</v>
      </c>
      <c r="LV7" s="2" cm="1">
        <f t="array" ref="LV7">INDEX(动作!$D$3:$D$113,LP7)</f>
        <v>0</v>
      </c>
      <c r="LW7" s="2" cm="1">
        <f t="array" ref="LW7">INDEX(动作!$E$3:$E$113,LP7)*$AH7</f>
        <v>0</v>
      </c>
      <c r="LX7" s="2" cm="1">
        <f t="array" ref="LX7">INDEX(动作!$F$3:$F$113,LP7)*$AH7</f>
        <v>0</v>
      </c>
      <c r="LY7" s="2" cm="1">
        <f t="array" ref="LY7">INDEX(动作!$G$3:$G$113,LP7)*$AH7</f>
        <v>0</v>
      </c>
      <c r="LZ7" s="2" cm="1">
        <f t="array" ref="LZ7">INDEX(动作!$H$3:$H$113,LP7)</f>
        <v>0</v>
      </c>
      <c r="MA7" s="2" cm="1">
        <f t="array" ref="MA7">INDEX(动作!$L$3:$L$113,LP7)*(1+LX$25)*LO$8</f>
        <v>0</v>
      </c>
      <c r="MB7" s="2" cm="1">
        <f t="array" ref="MB7">INDEX(动作!$K$3:$K$113,LP7)*LO$8</f>
        <v>0</v>
      </c>
      <c r="MC7" s="2" cm="1">
        <f t="array" ref="MC7">INDEX(动作!$J$3:$J$113,LP7)*LO$8</f>
        <v>0</v>
      </c>
      <c r="MD7" s="2" cm="1">
        <f t="array" ref="MD7">INDEX(动作!$N$3:$N$113,LP7)*LO$8</f>
        <v>0</v>
      </c>
      <c r="ME7" s="5">
        <f>(SUM(MC$4:MC$7)*(0.6+LZ$25)+MC7*(0.4-LZ$25))*(1+$T7+LY$25)+MD7</f>
        <v>7.2</v>
      </c>
      <c r="MF7" s="5">
        <f>LQ7*LW7%+LR7*LX7%+LS7*LY7%+LZ7</f>
        <v>0</v>
      </c>
      <c r="MG7" s="3">
        <f ca="1">IFERROR(OFFSET($X7,0,MATCH(LU7,$Y$3:$AA$3,0)),0)+IF(LV7="心灵",$AB7,$X7)+IF(LV7="附着",$AC7,0)+IF(LV7="追击",$AD7,0)+MG$25+$W7+IF(LO$28,$AE$4,0)+MC12</f>
        <v>0.75</v>
      </c>
      <c r="MH7" s="3">
        <f>IF(LV7="DOT",50%,MIN($R7+MH$25+MA12,1))</f>
        <v>0.75</v>
      </c>
      <c r="MI7" s="3">
        <f>$S7+MI$25+MB12</f>
        <v>1.36</v>
      </c>
      <c r="MJ7" s="5">
        <f>1+MH7*MI7</f>
        <v>2.02</v>
      </c>
      <c r="MK7" s="3">
        <f>1-$B$6+MK$25+IF($C$6=$F7,$C$8,0)+$AG7+ME12</f>
        <v>0.8</v>
      </c>
      <c r="ML7" s="3">
        <f>IF(MK7&lt;1,MK7,(MK7-1)*0.925+1)</f>
        <v>0.8</v>
      </c>
      <c r="MM7" s="3">
        <f>MIN($AF7+MM$25+MD12,1)</f>
        <v>0</v>
      </c>
      <c r="MN7" s="2">
        <f>IF(LV7="心灵",1,$B$4/($B$4+$C$4*(1-MM7)))</f>
        <v>0.497237569060773</v>
      </c>
      <c r="MO7" s="2" cm="1">
        <f t="array" ref="MO7">INDEX(动作!$I$3:$I$113,LP7)</f>
        <v>0</v>
      </c>
      <c r="MP7" s="6">
        <f ca="1">MF7*(1+MG7)*MJ7*ML7*MN7*MG$28*(1+MN$25)</f>
        <v>0</v>
      </c>
      <c r="MQ7" s="6">
        <f ca="1">MP7*LO$8</f>
        <v>0</v>
      </c>
      <c r="MR7" s="2" t="str" cm="1">
        <f t="array" ref="MR7">INDEX(云配队!$J7:$AC7,1,MR$1)</f>
        <v>q清算</v>
      </c>
      <c r="MS7" s="2" cm="1">
        <f t="array" ref="MS7">IFERROR(MATCH(1,(动作!$A$3:$A$111=$D7)*EXACT(动作!$B$3:$B$111,MR7),0),1)</f>
        <v>45</v>
      </c>
      <c r="MT7" s="2">
        <f>$I7*(1+$J7+MT$25)+$K7+MU$25</f>
        <v>2329.21875</v>
      </c>
      <c r="MU7" s="2">
        <f>$L7*(1+$M7+MV$25)+$N7+MW$25</f>
        <v>20834.8</v>
      </c>
      <c r="MV7" s="2">
        <f>$O7*(1+$P7+MX$25)+$Q7+MY$25</f>
        <v>909</v>
      </c>
      <c r="MW7" s="2">
        <f>$U7+MZ$25</f>
        <v>0</v>
      </c>
      <c r="MX7" s="2" t="str" cm="1">
        <f t="array" ref="MX7">INDEX(动作!$C$3:$C$113,MS7)</f>
        <v>普攻</v>
      </c>
      <c r="MY7" s="2" t="str" cm="1">
        <f t="array" ref="MY7">INDEX(动作!$D$3:$D$113,MS7)</f>
        <v>附着</v>
      </c>
      <c r="MZ7" s="2" cm="1">
        <f t="array" ref="MZ7">INDEX(动作!$E$3:$E$113,MS7)*$AH7</f>
        <v>799.601850841773</v>
      </c>
      <c r="NA7" s="2" cm="1">
        <f t="array" ref="NA7">INDEX(动作!$F$3:$F$113,MS7)*$AH7</f>
        <v>0</v>
      </c>
      <c r="NB7" s="2" cm="1">
        <f t="array" ref="NB7">INDEX(动作!$G$3:$G$113,MS7)*$AH7</f>
        <v>0</v>
      </c>
      <c r="NC7" s="2" cm="1">
        <f t="array" ref="NC7">INDEX(动作!$H$3:$H$113,MS7)</f>
        <v>0</v>
      </c>
      <c r="ND7" s="2" cm="1">
        <f t="array" ref="ND7">INDEX(动作!$L$3:$L$113,MS7)*(1+NA$25)*MR$8</f>
        <v>0</v>
      </c>
      <c r="NE7" s="2" cm="1">
        <f t="array" ref="NE7">INDEX(动作!$K$3:$K$113,MS7)*MR$8</f>
        <v>0</v>
      </c>
      <c r="NF7" s="2" cm="1">
        <f t="array" ref="NF7">INDEX(动作!$J$3:$J$113,MS7)*MR$8</f>
        <v>0</v>
      </c>
      <c r="NG7" s="2" cm="1">
        <f t="array" ref="NG7">INDEX(动作!$N$3:$N$113,MS7)*MR$8</f>
        <v>40</v>
      </c>
      <c r="NH7" s="5">
        <f>(SUM(NF$4:NF$7)*(0.6+NC$25)+NF7*(0.4-NC$25))*(1+$T7+NB$25)+NG7</f>
        <v>40</v>
      </c>
      <c r="NI7" s="5">
        <f>MT7*MZ7%+MU7*NA7%+MV7*NB7%+NC7</f>
        <v>18624.4762351536</v>
      </c>
      <c r="NJ7" s="3">
        <f ca="1">IFERROR(OFFSET($X7,0,MATCH(MX7,$Y$3:$AA$3,0)),0)+IF(MY7="心灵",$AB7,$X7)+IF(MY7="附着",$AC7,0)+IF(MY7="追击",$AD7,0)+NJ$25+$W7+IF(MR$28,$AE$4,0)+NF12</f>
        <v>0.7</v>
      </c>
      <c r="NK7" s="3">
        <f>IF(MY7="DOT",50%,MIN($R7+NK$25+ND12,1))</f>
        <v>0.75</v>
      </c>
      <c r="NL7" s="3">
        <f>$S7+NL$25+NE12</f>
        <v>1.36</v>
      </c>
      <c r="NM7" s="5">
        <f>1+NK7*NL7</f>
        <v>2.02</v>
      </c>
      <c r="NN7" s="3">
        <f>1-$B$6+NN$25+IF($C$6=$F7,$C$8,0)+$AG7+NH12</f>
        <v>0.8</v>
      </c>
      <c r="NO7" s="3">
        <f>IF(NN7&lt;1,NN7,(NN7-1)*0.925+1)</f>
        <v>0.8</v>
      </c>
      <c r="NP7" s="3">
        <f>MIN($AF7+NP$25+NG12,1)</f>
        <v>0</v>
      </c>
      <c r="NQ7" s="2">
        <f>IF(MY7="心灵",1,$B$4/($B$4+$C$4*(1-NP7)))</f>
        <v>0.497237569060773</v>
      </c>
      <c r="NR7" s="2" cm="1">
        <f t="array" ref="NR7">INDEX(动作!$I$3:$I$113,MS7)</f>
        <v>0</v>
      </c>
      <c r="NS7" s="6">
        <f ca="1">NI7*(1+NJ7)*NM7*NO7*NQ7*NJ$28*(1+NQ$25)</f>
        <v>25441.2403325373</v>
      </c>
      <c r="NT7" s="6">
        <f ca="1">NS7*MR$8</f>
        <v>25441.2403325373</v>
      </c>
      <c r="NU7" s="2" t="str" cm="1">
        <f t="array" ref="NU7">INDEX(云配队!$J7:$AC7,1,NU$1)</f>
        <v>6枪</v>
      </c>
      <c r="NV7" s="2" cm="1">
        <f t="array" ref="NV7">IFERROR(MATCH(1,(动作!$A$3:$A$111=$D7)*EXACT(动作!$B$3:$B$111,NU7),0),1)</f>
        <v>42</v>
      </c>
      <c r="NW7" s="2">
        <f>$I7*(1+$J7+NW$25)+$K7+NX$25</f>
        <v>2329.21875</v>
      </c>
      <c r="NX7" s="2">
        <f>$L7*(1+$M7+NY$25)+$N7+NZ$25</f>
        <v>20834.8</v>
      </c>
      <c r="NY7" s="2">
        <f>$O7*(1+$P7+OA$25)+$Q7+OB$25</f>
        <v>909</v>
      </c>
      <c r="NZ7" s="2">
        <f>$U7+OC$25</f>
        <v>0</v>
      </c>
      <c r="OA7" s="2" t="str" cm="1">
        <f t="array" ref="OA7">INDEX(动作!$C$3:$C$113,NV7)</f>
        <v>普攻</v>
      </c>
      <c r="OB7" s="2" cm="1">
        <f t="array" ref="OB7">INDEX(动作!$D$3:$D$113,NV7)</f>
        <v>0</v>
      </c>
      <c r="OC7" s="2" cm="1">
        <f t="array" ref="OC7">INDEX(动作!$E$3:$E$113,NV7)*$AH7</f>
        <v>399.401124495466</v>
      </c>
      <c r="OD7" s="2" cm="1">
        <f t="array" ref="OD7">INDEX(动作!$F$3:$F$113,NV7)*$AH7</f>
        <v>0</v>
      </c>
      <c r="OE7" s="2" cm="1">
        <f t="array" ref="OE7">INDEX(动作!$G$3:$G$113,NV7)*$AH7</f>
        <v>0</v>
      </c>
      <c r="OF7" s="2" cm="1">
        <f t="array" ref="OF7">INDEX(动作!$H$3:$H$113,NV7)</f>
        <v>0</v>
      </c>
      <c r="OG7" s="2" cm="1">
        <f t="array" ref="OG7">INDEX(动作!$L$3:$L$113,NV7)*(1+OD$25)*NU$8</f>
        <v>0</v>
      </c>
      <c r="OH7" s="2" cm="1">
        <f t="array" ref="OH7">INDEX(动作!$K$3:$K$113,NV7)*NU$8</f>
        <v>0</v>
      </c>
      <c r="OI7" s="2" cm="1">
        <f t="array" ref="OI7">INDEX(动作!$J$3:$J$113,NV7)*NU$8</f>
        <v>0</v>
      </c>
      <c r="OJ7" s="2" cm="1">
        <f t="array" ref="OJ7">INDEX(动作!$N$3:$N$113,NV7)*NU$8</f>
        <v>0</v>
      </c>
      <c r="OK7" s="5">
        <f>(SUM(OI$4:OI$7)*(0.6+OF$25)+OI7*(0.4-OF$25))*(1+$T7+OE$25)+OJ7</f>
        <v>0</v>
      </c>
      <c r="OL7" s="5">
        <f>NW7*OC7%+NX7*OD7%+NY7*OE7%+OF7</f>
        <v>9302.92587945923</v>
      </c>
      <c r="OM7" s="3">
        <f ca="1">IFERROR(OFFSET($X7,0,MATCH(OA7,$Y$3:$AA$3,0)),0)+IF(OB7="心灵",$AB7,$X7)+IF(OB7="附着",$AC7,0)+IF(OB7="追击",$AD7,0)+OM$25+$W7+IF(NU$28,$AE$4,0)+OI12</f>
        <v>0.4</v>
      </c>
      <c r="ON7" s="3">
        <f>IF(OB7="DOT",50%,MIN($R7+ON$25+OG12,1))</f>
        <v>0.75</v>
      </c>
      <c r="OO7" s="3">
        <f>$S7+OO$25+OH12</f>
        <v>1.36</v>
      </c>
      <c r="OP7" s="5">
        <f>1+ON7*OO7</f>
        <v>2.02</v>
      </c>
      <c r="OQ7" s="3">
        <f>1-$B$6+OQ$25+IF($C$6=$F7,$C$8,0)+$AG7+OK12</f>
        <v>0.8</v>
      </c>
      <c r="OR7" s="3">
        <f>IF(OQ7&lt;1,OQ7,(OQ7-1)*0.925+1)</f>
        <v>0.8</v>
      </c>
      <c r="OS7" s="3">
        <f>MIN($AF7+OS$25+OJ12,1)</f>
        <v>0</v>
      </c>
      <c r="OT7" s="2">
        <f>IF(OB7="心灵",1,$B$4/($B$4+$C$4*(1-OS7)))</f>
        <v>0.497237569060773</v>
      </c>
      <c r="OU7" s="2" cm="1">
        <f t="array" ref="OU7">INDEX(动作!$I$3:$I$113,NV7)</f>
        <v>0.3</v>
      </c>
      <c r="OV7" s="6">
        <f ca="1">OL7*(1+OM7)*OP7*OR7*OT7*OM$28*(1+OT$25)</f>
        <v>10465.3290379667</v>
      </c>
      <c r="OW7" s="6">
        <f ca="1">OV7*NU$8</f>
        <v>10465.3290379667</v>
      </c>
      <c r="OX7" s="2" t="str" cm="1">
        <f t="array" ref="OX7">INDEX(云配队!$J7:$AC7,1,OX$1)</f>
        <v>e</v>
      </c>
      <c r="OY7" s="2" cm="1">
        <f t="array" ref="OY7">IFERROR(MATCH(1,(动作!$A$3:$A$111=$D7)*EXACT(动作!$B$3:$B$111,OX7),0),1)</f>
        <v>46</v>
      </c>
      <c r="OZ7" s="2">
        <f>$I7*(1+$J7+OZ$25)+$K7+PA$25</f>
        <v>2329.21875</v>
      </c>
      <c r="PA7" s="2">
        <f>$L7*(1+$M7+PB$25)+$N7+PC$25</f>
        <v>20834.8</v>
      </c>
      <c r="PB7" s="2">
        <f>$O7*(1+$P7+PD$25)+$Q7+PE$25</f>
        <v>909</v>
      </c>
      <c r="PC7" s="2">
        <f>$U7+PF$25</f>
        <v>0</v>
      </c>
      <c r="PD7" s="2" t="str" cm="1">
        <f t="array" ref="PD7">INDEX(动作!$C$3:$C$113,OY7)</f>
        <v>E</v>
      </c>
      <c r="PE7" s="2" cm="1">
        <f t="array" ref="PE7">INDEX(动作!$D$3:$D$113,OY7)</f>
        <v>0</v>
      </c>
      <c r="PF7" s="2" cm="1">
        <f t="array" ref="PF7">INDEX(动作!$E$3:$E$113,OY7)*$AH7</f>
        <v>599.70138813133</v>
      </c>
      <c r="PG7" s="2" cm="1">
        <f t="array" ref="PG7">INDEX(动作!$F$3:$F$113,OY7)*$AH7</f>
        <v>0</v>
      </c>
      <c r="PH7" s="2" cm="1">
        <f t="array" ref="PH7">INDEX(动作!$G$3:$G$113,OY7)*$AH7</f>
        <v>0</v>
      </c>
      <c r="PI7" s="2" cm="1">
        <f t="array" ref="PI7">INDEX(动作!$H$3:$H$113,OY7)</f>
        <v>0</v>
      </c>
      <c r="PJ7" s="2" cm="1">
        <f t="array" ref="PJ7">INDEX(动作!$L$3:$L$113,OY7)*(1+PG$25)*OX$8</f>
        <v>1.4</v>
      </c>
      <c r="PK7" s="2" cm="1">
        <f t="array" ref="PK7">INDEX(动作!$K$3:$K$113,OY7)*OX$8</f>
        <v>11.802</v>
      </c>
      <c r="PL7" s="2" cm="1">
        <f t="array" ref="PL7">INDEX(动作!$J$3:$J$113,OY7)*OX$8</f>
        <v>7.1</v>
      </c>
      <c r="PM7" s="2" cm="1">
        <f t="array" ref="PM7">INDEX(动作!$N$3:$N$113,OY7)*OX$8</f>
        <v>0</v>
      </c>
      <c r="PN7" s="5">
        <f>(SUM(PL$4:PL$7)*(0.6+PI$25)+PL7*(0.4-PI$25))*(1+$T7+PH$25)+PM7</f>
        <v>7.1</v>
      </c>
      <c r="PO7" s="5">
        <f>OZ7*PF7%+PA7*PG7%+PB7*PH7%+PI7</f>
        <v>13968.3571763652</v>
      </c>
      <c r="PP7" s="3">
        <f ca="1">IFERROR(OFFSET($X7,0,MATCH(PD7,$Y$3:$AA$3,0)),0)+IF(PE7="心灵",$AB7,$X7)+IF(PE7="附着",$AC7,0)+IF(PE7="追击",$AD7,0)+PP$25+$W7+IF(OX$28,$AE$4,0)+PL12</f>
        <v>0.4</v>
      </c>
      <c r="PQ7" s="3">
        <f>IF(PE7="DOT",50%,MIN($R7+PQ$25+PJ12,1))</f>
        <v>0.75</v>
      </c>
      <c r="PR7" s="3">
        <f>$S7+PR$25+PK12</f>
        <v>1.36</v>
      </c>
      <c r="PS7" s="5">
        <f>1+PQ7*PR7</f>
        <v>2.02</v>
      </c>
      <c r="PT7" s="3">
        <f>1-$B$6+PT$25+IF($C$6=$F7,$C$8,0)+$AG7+PN12</f>
        <v>0.8</v>
      </c>
      <c r="PU7" s="3">
        <f>IF(PT7&lt;1,PT7,(PT7-1)*0.925+1)</f>
        <v>0.8</v>
      </c>
      <c r="PV7" s="3">
        <f>MIN($AF7+PV$25+PM12,1)</f>
        <v>0</v>
      </c>
      <c r="PW7" s="2">
        <f>IF(PE7="心灵",1,$B$4/($B$4+$C$4*(1-PV7)))</f>
        <v>0.497237569060773</v>
      </c>
      <c r="PX7" s="2" cm="1">
        <f t="array" ref="PX7">INDEX(动作!$I$3:$I$113,OY7)</f>
        <v>0</v>
      </c>
      <c r="PY7" s="6">
        <f ca="1">PO7*(1+PP7)*PS7*PU7*PW7*PP$28*(1+PW$25)</f>
        <v>15713.7072642142</v>
      </c>
      <c r="PZ7" s="6">
        <f ca="1">PY7*OX$8</f>
        <v>15713.7072642142</v>
      </c>
      <c r="QA7" s="2" t="str" cm="1">
        <f t="array" ref="QA7">INDEX(云配队!$J7:$AC7,1,QA$1)</f>
        <v>dot</v>
      </c>
      <c r="QB7" s="2" cm="1">
        <f t="array" ref="QB7">IFERROR(MATCH(1,(动作!$A$3:$A$111=$D7)*EXACT(动作!$B$3:$B$111,QA7),0),1)</f>
        <v>43</v>
      </c>
      <c r="QC7" s="2">
        <f>$I7*(1+$J7+QC$25)+$K7+QD$25</f>
        <v>2329.21875</v>
      </c>
      <c r="QD7" s="2">
        <f>$L7*(1+$M7+QE$25)+$N7+QF$25</f>
        <v>20834.8</v>
      </c>
      <c r="QE7" s="2">
        <f>$O7*(1+$P7+QG$25)+$Q7+QH$25</f>
        <v>909</v>
      </c>
      <c r="QF7" s="2">
        <f>$U7+QI$25</f>
        <v>0</v>
      </c>
      <c r="QG7" s="2" t="str" cm="1">
        <f t="array" ref="QG7">INDEX(动作!$C$3:$C$113,QB7)</f>
        <v>普攻</v>
      </c>
      <c r="QH7" s="2" t="str" cm="1">
        <f t="array" ref="QH7">INDEX(动作!$D$3:$D$113,QB7)</f>
        <v>附着</v>
      </c>
      <c r="QI7" s="2" cm="1">
        <f t="array" ref="QI7">INDEX(动作!$E$3:$E$113,QB7)*$AH7</f>
        <v>59.970138813133</v>
      </c>
      <c r="QJ7" s="2" cm="1">
        <f t="array" ref="QJ7">INDEX(动作!$F$3:$F$113,QB7)*$AH7</f>
        <v>0</v>
      </c>
      <c r="QK7" s="2" cm="1">
        <f t="array" ref="QK7">INDEX(动作!$G$3:$G$113,QB7)*$AH7</f>
        <v>0</v>
      </c>
      <c r="QL7" s="2" cm="1">
        <f t="array" ref="QL7">INDEX(动作!$H$3:$H$113,QB7)</f>
        <v>0</v>
      </c>
      <c r="QM7" s="2" cm="1">
        <f t="array" ref="QM7">INDEX(动作!$L$3:$L$113,QB7)*(1+QJ$25)*QA$8</f>
        <v>0</v>
      </c>
      <c r="QN7" s="2" cm="1">
        <f t="array" ref="QN7">INDEX(动作!$K$3:$K$113,QB7)*QA$8</f>
        <v>0</v>
      </c>
      <c r="QO7" s="2" cm="1">
        <f t="array" ref="QO7">INDEX(动作!$J$3:$J$113,QB7)*QA$8</f>
        <v>0</v>
      </c>
      <c r="QP7" s="2" cm="1">
        <f t="array" ref="QP7">INDEX(动作!$N$3:$N$113,QB7)*QA$8</f>
        <v>0</v>
      </c>
      <c r="QQ7" s="5">
        <f>(SUM(QO$4:QO$7)*(0.6+QL$25)+QO7*(0.4-QL$25))*(1+$T7+QK$25)+QP7</f>
        <v>0</v>
      </c>
      <c r="QR7" s="5">
        <f>QC7*QI7%+QD7*QJ7%+QE7*QK7%+QL7</f>
        <v>1396.83571763652</v>
      </c>
      <c r="QS7" s="3">
        <f ca="1">IFERROR(OFFSET($X7,0,MATCH(QG7,$Y$3:$AA$3,0)),0)+IF(QH7="心灵",$AB7,$X7)+IF(QH7="附着",$AC7,0)+IF(QH7="追击",$AD7,0)+QS$25+$W7+IF(QA$28,$AE$4,0)+QO12</f>
        <v>0.7</v>
      </c>
      <c r="QT7" s="3">
        <f>IF(QH7="DOT",50%,MIN($R7+QT$25+QM12,1))</f>
        <v>0.75</v>
      </c>
      <c r="QU7" s="3">
        <f>$S7+QU$25+QN12</f>
        <v>1.36</v>
      </c>
      <c r="QV7" s="5">
        <f>1+QT7*QU7</f>
        <v>2.02</v>
      </c>
      <c r="QW7" s="3">
        <f>1-$B$6+QW$25+IF($C$6=$F7,$C$8,0)+$AG7+QQ12</f>
        <v>0.8</v>
      </c>
      <c r="QX7" s="3">
        <f>IF(QW7&lt;1,QW7,(QW7-1)*0.925+1)</f>
        <v>0.8</v>
      </c>
      <c r="QY7" s="3">
        <f>MIN($AF7+QY$25+QP12,1)</f>
        <v>0</v>
      </c>
      <c r="QZ7" s="2">
        <f>IF(QH7="心灵",1,$B$4/($B$4+$C$4*(1-QY7)))</f>
        <v>0.497237569060773</v>
      </c>
      <c r="RA7" s="2" cm="1">
        <f t="array" ref="RA7">INDEX(动作!$I$3:$I$113,QB7)</f>
        <v>0</v>
      </c>
      <c r="RB7" s="6">
        <f ca="1">QR7*(1+QS7)*QV7*QX7*QZ7*QS$28*(1+QZ$25)</f>
        <v>1908.0930249403</v>
      </c>
      <c r="RC7" s="6">
        <f ca="1">RB7*QA$8</f>
        <v>22897.1162992836</v>
      </c>
      <c r="RD7" s="2" t="str" cm="1">
        <f t="array" ref="RD7">INDEX(云配队!$J7:$AC7,1,RD$1)</f>
        <v>援护</v>
      </c>
      <c r="RE7" s="2" cm="1">
        <f t="array" ref="RE7">IFERROR(MATCH(1,(动作!$A$3:$A$111=$D7)*EXACT(动作!$B$3:$B$111,RD7),0),1)</f>
        <v>41</v>
      </c>
      <c r="RF7" s="2">
        <f>$I7*(1+$J7+RF$25)+$K7+RG$25</f>
        <v>2329.21875</v>
      </c>
      <c r="RG7" s="2">
        <f>$L7*(1+$M7+RH$25)+$N7+RI$25</f>
        <v>20834.8</v>
      </c>
      <c r="RH7" s="2">
        <f>$O7*(1+$P7+RJ$25)+$Q7+RK$25</f>
        <v>909</v>
      </c>
      <c r="RI7" s="2">
        <f>$U7+RL$25</f>
        <v>0</v>
      </c>
      <c r="RJ7" s="2" t="str" cm="1">
        <f t="array" ref="RJ7">INDEX(动作!$C$3:$C$113,RE7)</f>
        <v>援护</v>
      </c>
      <c r="RK7" s="2" cm="1">
        <f t="array" ref="RK7">INDEX(动作!$D$3:$D$113,RE7)</f>
        <v>0</v>
      </c>
      <c r="RL7" s="2" cm="1">
        <f t="array" ref="RL7">INDEX(动作!$E$3:$E$113,RE7)*$AH7</f>
        <v>399.800925420887</v>
      </c>
      <c r="RM7" s="2" cm="1">
        <f t="array" ref="RM7">INDEX(动作!$F$3:$F$113,RE7)*$AH7</f>
        <v>0</v>
      </c>
      <c r="RN7" s="2" cm="1">
        <f t="array" ref="RN7">INDEX(动作!$G$3:$G$113,RE7)*$AH7</f>
        <v>0</v>
      </c>
      <c r="RO7" s="2" cm="1">
        <f t="array" ref="RO7">INDEX(动作!$H$3:$H$113,RE7)</f>
        <v>0</v>
      </c>
      <c r="RP7" s="2" cm="1">
        <f t="array" ref="RP7">INDEX(动作!$L$3:$L$113,RE7)*(1+RM$25)*RD$8</f>
        <v>2.5</v>
      </c>
      <c r="RQ7" s="2" cm="1">
        <f t="array" ref="RQ7">INDEX(动作!$K$3:$K$113,RE7)*RD$8</f>
        <v>0</v>
      </c>
      <c r="RR7" s="2" cm="1">
        <f t="array" ref="RR7">INDEX(动作!$J$3:$J$113,RE7)*RD$8</f>
        <v>4.9</v>
      </c>
      <c r="RS7" s="2" cm="1">
        <f t="array" ref="RS7">INDEX(动作!$N$3:$N$113,RE7)*RD$8</f>
        <v>0</v>
      </c>
      <c r="RT7" s="5">
        <f>(SUM(RR$4:RR$7)*(0.6+RO$25)+RR7*(0.4-RO$25))*(1+$T7+RN$25)+RS7</f>
        <v>9.52</v>
      </c>
      <c r="RU7" s="5">
        <f>RF7*RL7%+RG7*RM7%+RH7*RN7%+RO7</f>
        <v>9312.23811757681</v>
      </c>
      <c r="RV7" s="3">
        <f ca="1">IFERROR(OFFSET($X7,0,MATCH(RJ7,$Y$3:$AA$3,0)),0)+IF(RK7="心灵",$AB7,$X7)+IF(RK7="附着",$AC7,0)+IF(RK7="追击",$AD7,0)+RV$25+$W7+IF(RD$28,$AE$4,0)+RR12</f>
        <v>0.4</v>
      </c>
      <c r="RW7" s="3">
        <f>IF(RK7="DOT",50%,MIN($R7+RW$25+RP12,1))</f>
        <v>0.75</v>
      </c>
      <c r="RX7" s="3">
        <f>$S7+RX$25+RQ12</f>
        <v>1.36</v>
      </c>
      <c r="RY7" s="5">
        <f>1+RW7*RX7</f>
        <v>2.02</v>
      </c>
      <c r="RZ7" s="3">
        <f>1-$B$6+RZ$25+IF($C$6=$F7,$C$8,0)+$AG7+RT12</f>
        <v>0.8</v>
      </c>
      <c r="SA7" s="3">
        <f>IF(RZ7&lt;1,RZ7,(RZ7-1)*0.925+1)</f>
        <v>0.8</v>
      </c>
      <c r="SB7" s="3">
        <f>MIN($AF7+SB$25+RS12,1)</f>
        <v>0</v>
      </c>
      <c r="SC7" s="2">
        <f>IF(RK7="心灵",1,$B$4/($B$4+$C$4*(1-SB7)))</f>
        <v>0.497237569060773</v>
      </c>
      <c r="SD7" s="2" cm="1">
        <f t="array" ref="SD7">INDEX(动作!$I$3:$I$113,RE7)</f>
        <v>1.3</v>
      </c>
      <c r="SE7" s="6">
        <f ca="1">RU7*(1+RV7)*RY7*SA7*SC7*RV$28*(1+SC$25)</f>
        <v>10475.8048428095</v>
      </c>
      <c r="SF7" s="6">
        <f ca="1">SE7*RD$8</f>
        <v>10475.8048428095</v>
      </c>
      <c r="SG7" s="2" t="str" cm="1">
        <f t="array" ref="SG7">INDEX(云配队!$J7:$AC7,1,SG$1)</f>
        <v>q</v>
      </c>
      <c r="SH7" s="2" cm="1">
        <f t="array" ref="SH7">IFERROR(MATCH(1,(动作!$A$3:$A$111=$D7)*EXACT(动作!$B$3:$B$111,SG7),0),1)</f>
        <v>47</v>
      </c>
      <c r="SI7" s="2">
        <f>$I7*(1+$J7+SI$25)+$K7+SJ$25</f>
        <v>2329.21875</v>
      </c>
      <c r="SJ7" s="2">
        <f>$L7*(1+$M7+SK$25)+$N7+SL$25</f>
        <v>20834.8</v>
      </c>
      <c r="SK7" s="2">
        <f>$O7*(1+$P7+SM$25)+$Q7+SN$25</f>
        <v>909</v>
      </c>
      <c r="SL7" s="2">
        <f>$U7+SO$25</f>
        <v>0</v>
      </c>
      <c r="SM7" s="2" t="str" cm="1">
        <f t="array" ref="SM7">INDEX(动作!$C$3:$C$113,SH7)</f>
        <v>Q</v>
      </c>
      <c r="SN7" s="2" cm="1">
        <f t="array" ref="SN7">INDEX(动作!$D$3:$D$113,SH7)</f>
        <v>0</v>
      </c>
      <c r="SO7" s="2" cm="1">
        <f t="array" ref="SO7">INDEX(动作!$E$3:$E$113,SH7)*$AH7</f>
        <v>1199.40277626266</v>
      </c>
      <c r="SP7" s="2" cm="1">
        <f t="array" ref="SP7">INDEX(动作!$F$3:$F$113,SH7)*$AH7</f>
        <v>0</v>
      </c>
      <c r="SQ7" s="2" cm="1">
        <f t="array" ref="SQ7">INDEX(动作!$G$3:$G$113,SH7)*$AH7</f>
        <v>0</v>
      </c>
      <c r="SR7" s="2" cm="1">
        <f t="array" ref="SR7">INDEX(动作!$H$3:$H$113,SH7)</f>
        <v>0</v>
      </c>
      <c r="SS7" s="2" cm="1">
        <f t="array" ref="SS7">INDEX(动作!$L$3:$L$113,SH7)*(1+SP$25)*SG$8</f>
        <v>1.5</v>
      </c>
      <c r="ST7" s="2" cm="1">
        <f t="array" ref="ST7">INDEX(动作!$K$3:$K$113,SH7)*SG$8</f>
        <v>0</v>
      </c>
      <c r="SU7" s="2" cm="1">
        <f t="array" ref="SU7">INDEX(动作!$J$3:$J$113,SH7)*SG$8</f>
        <v>0</v>
      </c>
      <c r="SV7" s="2" cm="1">
        <f t="array" ref="SV7">INDEX(动作!$N$3:$N$113,SH7)*SG$8</f>
        <v>0</v>
      </c>
      <c r="SW7" s="5">
        <f>(SUM(SU$4:SU$7)*(0.6+SR$25)+SU7*(0.4-SR$25))*(1+$T7+SQ$25)+SV7</f>
        <v>0</v>
      </c>
      <c r="SX7" s="5">
        <f>SI7*SO7%+SJ7*SP7%+SK7*SQ7%+SR7</f>
        <v>27936.7143527304</v>
      </c>
      <c r="SY7" s="3">
        <f ca="1">IFERROR(OFFSET($X7,0,MATCH(SM7,$Y$3:$AA$3,0)),0)+IF(SN7="心灵",$AB7,$X7)+IF(SN7="附着",$AC7,0)+IF(SN7="追击",$AD7,0)+SY$25+$W7+IF(SG$28,$AE$4,0)+SU12</f>
        <v>0.4</v>
      </c>
      <c r="SZ7" s="3">
        <f>IF(SN7="DOT",50%,MIN($R7+SZ$25+SS12,1))</f>
        <v>0.75</v>
      </c>
      <c r="TA7" s="3">
        <f>$S7+TA$25+ST12</f>
        <v>1.36</v>
      </c>
      <c r="TB7" s="5">
        <f>1+SZ7*TA7</f>
        <v>2.02</v>
      </c>
      <c r="TC7" s="3">
        <f>1-$B$6+TC$25+IF($C$6=$F7,$C$8,0)+$AG7+SW12</f>
        <v>0.8</v>
      </c>
      <c r="TD7" s="3">
        <f>IF(TC7&lt;1,TC7,(TC7-1)*0.925+1)</f>
        <v>0.8</v>
      </c>
      <c r="TE7" s="3">
        <f>MIN($AF7+TE$25+SV12,1)</f>
        <v>0</v>
      </c>
      <c r="TF7" s="2">
        <f>IF(SN7="心灵",1,$B$4/($B$4+$C$4*(1-TE7)))</f>
        <v>0.497237569060773</v>
      </c>
      <c r="TG7" s="2" cm="1">
        <f t="array" ref="TG7">INDEX(动作!$I$3:$I$113,SH7)</f>
        <v>0</v>
      </c>
      <c r="TH7" s="6">
        <f ca="1">SX7*(1+SY7)*TB7*TD7*TF7*SY$28*(1+TF$25)</f>
        <v>31427.4145284284</v>
      </c>
      <c r="TI7" s="6">
        <f ca="1">TH7*SG$8</f>
        <v>31427.4145284284</v>
      </c>
      <c r="TJ7" s="2" t="str" cm="1">
        <f t="array" ref="TJ7">INDEX(云配队!$J7:$AC7,1,TJ$1)</f>
        <v>清算</v>
      </c>
      <c r="TK7" s="2" cm="1">
        <f t="array" ref="TK7">IFERROR(MATCH(1,(动作!$A$3:$A$111=$D7)*EXACT(动作!$B$3:$B$111,TJ7),0),1)</f>
        <v>44</v>
      </c>
      <c r="TL7" s="2">
        <f>$I7*(1+$J7+TL$25)+$K7+TM$25</f>
        <v>2329.21875</v>
      </c>
      <c r="TM7" s="2">
        <f>$L7*(1+$M7+TN$25)+$N7+TO$25</f>
        <v>20834.8</v>
      </c>
      <c r="TN7" s="2">
        <f>$O7*(1+$P7+TP$25)+$Q7+TQ$25</f>
        <v>909</v>
      </c>
      <c r="TO7" s="2">
        <f>$U7+TR$25</f>
        <v>0</v>
      </c>
      <c r="TP7" s="2" t="str" cm="1">
        <f t="array" ref="TP7">INDEX(动作!$C$3:$C$113,TK7)</f>
        <v>普攻</v>
      </c>
      <c r="TQ7" s="2" t="str" cm="1">
        <f t="array" ref="TQ7">INDEX(动作!$D$3:$D$113,TK7)</f>
        <v>附着</v>
      </c>
      <c r="TR7" s="2" cm="1">
        <f t="array" ref="TR7">INDEX(动作!$E$3:$E$113,TK7)*$AH7</f>
        <v>199.900462710443</v>
      </c>
      <c r="TS7" s="2" cm="1">
        <f t="array" ref="TS7">INDEX(动作!$F$3:$F$113,TK7)*$AH7</f>
        <v>0</v>
      </c>
      <c r="TT7" s="2" cm="1">
        <f t="array" ref="TT7">INDEX(动作!$G$3:$G$113,TK7)*$AH7</f>
        <v>0</v>
      </c>
      <c r="TU7" s="2" cm="1">
        <f t="array" ref="TU7">INDEX(动作!$H$3:$H$113,TK7)</f>
        <v>0</v>
      </c>
      <c r="TV7" s="2" cm="1">
        <f t="array" ref="TV7">INDEX(动作!$L$3:$L$113,TK7)*(1+TS$25)*TJ$8</f>
        <v>0</v>
      </c>
      <c r="TW7" s="2" cm="1">
        <f t="array" ref="TW7">INDEX(动作!$K$3:$K$113,TK7)*TJ$8</f>
        <v>0</v>
      </c>
      <c r="TX7" s="2" cm="1">
        <f t="array" ref="TX7">INDEX(动作!$J$3:$J$113,TK7)*TJ$8</f>
        <v>0</v>
      </c>
      <c r="TY7" s="2" cm="1">
        <f t="array" ref="TY7">INDEX(动作!$N$3:$N$113,TK7)*TJ$8</f>
        <v>40</v>
      </c>
      <c r="TZ7" s="5">
        <f>(SUM(TX$4:TX$7)*(0.6+TU$25)+TX7*(0.4-TU$25))*(1+$T7+TT$25)+TY7</f>
        <v>40</v>
      </c>
      <c r="UA7" s="5">
        <f>TL7*TR7%+TM7*TS7%+TN7*TT7%+TU7</f>
        <v>4656.1190587884</v>
      </c>
      <c r="UB7" s="3">
        <f ca="1">IFERROR(OFFSET($X7,0,MATCH(TP7,$Y$3:$AA$3,0)),0)+IF(TQ7="心灵",$AB7,$X7)+IF(TQ7="附着",$AC7,0)+IF(TQ7="追击",$AD7,0)+UB$25+$W7+IF(TJ$28,$AE$4,0)+TX12</f>
        <v>0.7</v>
      </c>
      <c r="UC7" s="3">
        <f>IF(TQ7="DOT",50%,MIN($R7+UC$25+TV12,1))</f>
        <v>0.75</v>
      </c>
      <c r="UD7" s="3">
        <f>$S7+UD$25+TW12</f>
        <v>1.36</v>
      </c>
      <c r="UE7" s="5">
        <f>1+UC7*UD7</f>
        <v>2.02</v>
      </c>
      <c r="UF7" s="3">
        <f>1-$B$6+UF$25+IF($C$6=$F7,$C$8,0)+$AG7+TZ12</f>
        <v>0.8</v>
      </c>
      <c r="UG7" s="3">
        <f>IF(UF7&lt;1,UF7,(UF7-1)*0.925+1)</f>
        <v>0.8</v>
      </c>
      <c r="UH7" s="3">
        <f>MIN($AF7+UH$25+TY12,1)</f>
        <v>0</v>
      </c>
      <c r="UI7" s="2">
        <f>IF(TQ7="心灵",1,$B$4/($B$4+$C$4*(1-UH7)))</f>
        <v>0.497237569060773</v>
      </c>
      <c r="UJ7" s="2" cm="1">
        <f t="array" ref="UJ7">INDEX(动作!$I$3:$I$113,TK7)</f>
        <v>0</v>
      </c>
      <c r="UK7" s="6">
        <f ca="1">UA7*(1+UB7)*UE7*UG7*UI7*UB$28*(1+UI$25)</f>
        <v>6360.31008313433</v>
      </c>
      <c r="UL7" s="6">
        <f ca="1">UK7*TJ$8</f>
        <v>6360.31008313433</v>
      </c>
      <c r="UM7" s="2" cm="1">
        <f t="array" ref="UM7">INDEX(云配队!$J7:$AC7,1,UM$1)</f>
        <v>0</v>
      </c>
      <c r="UN7" s="2" cm="1">
        <f t="array" ref="UN7">IFERROR(MATCH(1,(动作!$A$3:$A$111=$D7)*EXACT(动作!$B$3:$B$111,UM7),0),1)</f>
        <v>1</v>
      </c>
      <c r="UO7" s="2">
        <f>$I7*(1+$J7+UO$25)+$K7+UP$25</f>
        <v>2329.21875</v>
      </c>
      <c r="UP7" s="2">
        <f>$L7*(1+$M7+UQ$25)+$N7+UR$25</f>
        <v>20834.8</v>
      </c>
      <c r="UQ7" s="2">
        <f>$O7*(1+$P7+US$25)+$Q7+UT$25</f>
        <v>909</v>
      </c>
      <c r="UR7" s="2">
        <f>$U7+UU$25</f>
        <v>0</v>
      </c>
      <c r="US7" s="2" t="str" cm="1">
        <f t="array" ref="US7">INDEX(动作!$C$3:$C$113,UN7)</f>
        <v>无</v>
      </c>
      <c r="UT7" s="2" cm="1">
        <f t="array" ref="UT7">INDEX(动作!$D$3:$D$113,UN7)</f>
        <v>0</v>
      </c>
      <c r="UU7" s="2" cm="1">
        <f t="array" ref="UU7">INDEX(动作!$E$3:$E$113,UN7)*$AH7</f>
        <v>0</v>
      </c>
      <c r="UV7" s="2" cm="1">
        <f t="array" ref="UV7">INDEX(动作!$F$3:$F$113,UN7)*$AH7</f>
        <v>0</v>
      </c>
      <c r="UW7" s="2" cm="1">
        <f t="array" ref="UW7">INDEX(动作!$G$3:$G$113,UN7)*$AH7</f>
        <v>0</v>
      </c>
      <c r="UX7" s="2" cm="1">
        <f t="array" ref="UX7">INDEX(动作!$H$3:$H$113,UN7)</f>
        <v>0</v>
      </c>
      <c r="UY7" s="2" cm="1">
        <f t="array" ref="UY7">INDEX(动作!$L$3:$L$113,UN7)*(1+UV$25)*UM$8</f>
        <v>0</v>
      </c>
      <c r="UZ7" s="2" cm="1">
        <f t="array" ref="UZ7">INDEX(动作!$K$3:$K$113,UN7)*UM$8</f>
        <v>0</v>
      </c>
      <c r="VA7" s="2" cm="1">
        <f t="array" ref="VA7">INDEX(动作!$J$3:$J$113,UN7)*UM$8</f>
        <v>0</v>
      </c>
      <c r="VB7" s="2" cm="1">
        <f t="array" ref="VB7">INDEX(动作!$N$3:$N$113,UN7)*UM$8</f>
        <v>0</v>
      </c>
      <c r="VC7" s="5">
        <f>(SUM(VA$4:VA$7)*(0.6+UX$25)+VA7*(0.4-UX$25))*(1+$T7+UW$25)+VB7</f>
        <v>0</v>
      </c>
      <c r="VD7" s="5">
        <f>UO7*UU7%+UP7*UV7%+UQ7*UW7%+UX7</f>
        <v>0</v>
      </c>
      <c r="VE7" s="3">
        <f ca="1">IFERROR(OFFSET($X7,0,MATCH(US7,$Y$3:$AA$3,0)),0)+IF(UT7="心灵",$AB7,$X7)+IF(UT7="附着",$AC7,0)+IF(UT7="追击",$AD7,0)+VE$25+$W7+IF(UM$28,$AE$4,0)+VA12</f>
        <v>0.475</v>
      </c>
      <c r="VF7" s="3">
        <f>IF(UT7="DOT",50%,MIN($R7+VF$25+UY12,1))</f>
        <v>0.75</v>
      </c>
      <c r="VG7" s="3">
        <f>$S7+VG$25+UZ12</f>
        <v>1.36</v>
      </c>
      <c r="VH7" s="5">
        <f>1+VF7*VG7</f>
        <v>2.02</v>
      </c>
      <c r="VI7" s="3">
        <f>1-$B$6+VI$25+IF($C$6=$F7,$C$8,0)+$AG7+VC12</f>
        <v>0.8</v>
      </c>
      <c r="VJ7" s="3">
        <f>IF(VI7&lt;1,VI7,(VI7-1)*0.925+1)</f>
        <v>0.8</v>
      </c>
      <c r="VK7" s="3">
        <f>MIN($AF7+VK$25+VB12,1)</f>
        <v>0</v>
      </c>
      <c r="VL7" s="2">
        <f>IF(UT7="心灵",1,$B$4/($B$4+$C$4*(1-VK7)))</f>
        <v>0.497237569060773</v>
      </c>
      <c r="VM7" s="2" cm="1">
        <f t="array" ref="VM7">INDEX(动作!$I$3:$I$113,UN7)</f>
        <v>0</v>
      </c>
      <c r="VN7" s="6">
        <f ca="1">VD7*(1+VE7)*VH7*VJ7*VL7*VE$28*(1+VL$25)</f>
        <v>0</v>
      </c>
      <c r="VO7" s="6">
        <f ca="1">VN7*UM$8</f>
        <v>0</v>
      </c>
      <c r="VP7" s="2" cm="1">
        <f t="array" ref="VP7">INDEX(云配队!$J7:$AC7,1,VP$1)</f>
        <v>0</v>
      </c>
      <c r="VQ7" s="2" cm="1">
        <f t="array" ref="VQ7">IFERROR(MATCH(1,(动作!$A$3:$A$111=$D7)*EXACT(动作!$B$3:$B$111,VP7),0),1)</f>
        <v>1</v>
      </c>
      <c r="VR7" s="2">
        <f>$I7*(1+$J7+VR$25)+$K7+VS$25</f>
        <v>2329.21875</v>
      </c>
      <c r="VS7" s="2">
        <f>$L7*(1+$M7+VT$25)+$N7+VU$25</f>
        <v>20834.8</v>
      </c>
      <c r="VT7" s="2">
        <f>$O7*(1+$P7+VV$25)+$Q7+VW$25</f>
        <v>909</v>
      </c>
      <c r="VU7" s="2">
        <f>$U7+VX$25</f>
        <v>0</v>
      </c>
      <c r="VV7" s="2" t="str" cm="1">
        <f t="array" ref="VV7">INDEX(动作!$C$3:$C$113,VQ7)</f>
        <v>无</v>
      </c>
      <c r="VW7" s="2" cm="1">
        <f t="array" ref="VW7">INDEX(动作!$D$3:$D$113,VQ7)</f>
        <v>0</v>
      </c>
      <c r="VX7" s="2" cm="1">
        <f t="array" ref="VX7">INDEX(动作!$E$3:$E$113,VQ7)*$AH7</f>
        <v>0</v>
      </c>
      <c r="VY7" s="2" cm="1">
        <f t="array" ref="VY7">INDEX(动作!$F$3:$F$113,VQ7)*$AH7</f>
        <v>0</v>
      </c>
      <c r="VZ7" s="2" cm="1">
        <f t="array" ref="VZ7">INDEX(动作!$G$3:$G$113,VQ7)*$AH7</f>
        <v>0</v>
      </c>
      <c r="WA7" s="2" cm="1">
        <f t="array" ref="WA7">INDEX(动作!$H$3:$H$113,VQ7)</f>
        <v>0</v>
      </c>
      <c r="WB7" s="2" cm="1">
        <f t="array" ref="WB7">INDEX(动作!$L$3:$L$113,VQ7)*(1+VY$25)*VP$8</f>
        <v>0</v>
      </c>
      <c r="WC7" s="2" cm="1">
        <f t="array" ref="WC7">INDEX(动作!$K$3:$K$113,VQ7)*VP$8</f>
        <v>0</v>
      </c>
      <c r="WD7" s="2" cm="1">
        <f t="array" ref="WD7">INDEX(动作!$J$3:$J$113,VQ7)*VP$8</f>
        <v>0</v>
      </c>
      <c r="WE7" s="2" cm="1">
        <f t="array" ref="WE7">INDEX(动作!$N$3:$N$113,VQ7)*VP$8</f>
        <v>0</v>
      </c>
      <c r="WF7" s="5">
        <f>(SUM(WD$4:WD$7)*(0.6+WA$25)+WD7*(0.4-WA$25))*(1+$T7+VZ$25)+WE7</f>
        <v>0</v>
      </c>
      <c r="WG7" s="5">
        <f>VR7*VX7%+VS7*VY7%+VT7*VZ7%+WA7</f>
        <v>0</v>
      </c>
      <c r="WH7" s="3">
        <f ca="1">IFERROR(OFFSET($X7,0,MATCH(VV7,$Y$3:$AA$3,0)),0)+IF(VW7="心灵",$AB7,$X7)+IF(VW7="附着",$AC7,0)+IF(VW7="追击",$AD7,0)+WH$25+$W7+IF(VP$28,$AE$4,0)+WD12</f>
        <v>0.4</v>
      </c>
      <c r="WI7" s="3">
        <f>IF(VW7="DOT",50%,MIN($R7+WI$25+WB12,1))</f>
        <v>0.75</v>
      </c>
      <c r="WJ7" s="3">
        <f>$S7+WJ$25+WC12</f>
        <v>1.36</v>
      </c>
      <c r="WK7" s="5">
        <f>1+WI7*WJ7</f>
        <v>2.02</v>
      </c>
      <c r="WL7" s="3">
        <f>1-$B$6+WL$25+IF($C$6=$F7,$C$8,0)+$AG7+WF12</f>
        <v>0.8</v>
      </c>
      <c r="WM7" s="3">
        <f>IF(WL7&lt;1,WL7,(WL7-1)*0.925+1)</f>
        <v>0.8</v>
      </c>
      <c r="WN7" s="3">
        <f>MIN($AF7+WN$25+WE12,1)</f>
        <v>0.1675</v>
      </c>
      <c r="WO7" s="2">
        <f>IF(VW7="心灵",1,$B$4/($B$4+$C$4*(1-WN7)))</f>
        <v>0.542961856929551</v>
      </c>
      <c r="WP7" s="2" cm="1">
        <f t="array" ref="WP7">INDEX(动作!$I$3:$I$113,VQ7)</f>
        <v>0</v>
      </c>
      <c r="WQ7" s="6">
        <f ca="1">WG7*(1+WH7)*WK7*WM7*WO7*WH$28*(1+WO$25)</f>
        <v>0</v>
      </c>
      <c r="WR7" s="6">
        <f ca="1">WQ7*VP$8</f>
        <v>0</v>
      </c>
    </row>
    <row r="8" spans="1:616">
      <c r="C8" s="2">
        <f>云配队!H11</f>
        <v>0.2</v>
      </c>
      <c r="AI8" s="2" t="s">
        <v>537</v>
      </c>
      <c r="AK8" s="2" cm="1">
        <f t="array" ref="AK8">INDEX(云配队!$J8:$AC8,1,AK$1)</f>
        <v>1</v>
      </c>
      <c r="AL8" s="2" t="s">
        <v>538</v>
      </c>
      <c r="AM8" s="2" t="s">
        <v>180</v>
      </c>
      <c r="AN8" s="2" t="s">
        <v>132</v>
      </c>
      <c r="AO8" s="2" t="s">
        <v>181</v>
      </c>
      <c r="AP8" s="2" t="s">
        <v>146</v>
      </c>
      <c r="AQ8" s="2" t="s">
        <v>182</v>
      </c>
      <c r="AR8" s="2" t="s">
        <v>161</v>
      </c>
      <c r="AS8" s="2" t="s">
        <v>131</v>
      </c>
      <c r="AT8" s="2" t="s">
        <v>183</v>
      </c>
      <c r="AU8" s="2" t="s">
        <v>184</v>
      </c>
      <c r="AV8" s="2" t="s">
        <v>185</v>
      </c>
      <c r="AW8" s="2" t="s">
        <v>539</v>
      </c>
      <c r="AX8" s="2" t="s">
        <v>540</v>
      </c>
      <c r="AY8" s="2" t="s">
        <v>541</v>
      </c>
      <c r="AZ8" s="2" t="s">
        <v>542</v>
      </c>
      <c r="BA8" s="2" t="s">
        <v>543</v>
      </c>
      <c r="BC8" s="2" t="s">
        <v>186</v>
      </c>
      <c r="BD8" s="2" t="s">
        <v>135</v>
      </c>
      <c r="BE8" s="2" t="s">
        <v>187</v>
      </c>
      <c r="BG8" s="2" t="s">
        <v>179</v>
      </c>
      <c r="BI8" s="2" t="s">
        <v>178</v>
      </c>
      <c r="BJ8" s="2" t="s">
        <v>177</v>
      </c>
      <c r="BK8" s="2">
        <f>MAX(BK4:BK7)*AK$8</f>
        <v>0.2</v>
      </c>
      <c r="BL8" s="6">
        <f ca="1">MAX(BL4:BL7)*AK$8</f>
        <v>13589.4595686099</v>
      </c>
      <c r="BM8" s="6">
        <f ca="1">SUM(BM4:BM7)</f>
        <v>13589.4595686099</v>
      </c>
      <c r="BN8" s="2" cm="1">
        <f t="array" ref="BN8">INDEX(云配队!$J8:$AC8,1,BN$1)</f>
        <v>0.667</v>
      </c>
      <c r="BO8" s="2" t="s">
        <v>538</v>
      </c>
      <c r="BP8" s="2" t="s">
        <v>180</v>
      </c>
      <c r="BQ8" s="2" t="s">
        <v>132</v>
      </c>
      <c r="BR8" s="2" t="s">
        <v>181</v>
      </c>
      <c r="BS8" s="2" t="s">
        <v>146</v>
      </c>
      <c r="BT8" s="2" t="s">
        <v>182</v>
      </c>
      <c r="BU8" s="2" t="s">
        <v>161</v>
      </c>
      <c r="BV8" s="2" t="s">
        <v>131</v>
      </c>
      <c r="BW8" s="2" t="s">
        <v>183</v>
      </c>
      <c r="BX8" s="2" t="s">
        <v>184</v>
      </c>
      <c r="BY8" s="2" t="s">
        <v>185</v>
      </c>
      <c r="BZ8" s="2" t="s">
        <v>539</v>
      </c>
      <c r="CA8" s="2" t="s">
        <v>540</v>
      </c>
      <c r="CB8" s="2" t="s">
        <v>541</v>
      </c>
      <c r="CC8" s="2" t="s">
        <v>542</v>
      </c>
      <c r="CD8" s="2" t="s">
        <v>543</v>
      </c>
      <c r="CF8" s="2" t="s">
        <v>186</v>
      </c>
      <c r="CG8" s="2" t="s">
        <v>135</v>
      </c>
      <c r="CH8" s="2" t="s">
        <v>187</v>
      </c>
      <c r="CJ8" s="2" t="s">
        <v>179</v>
      </c>
      <c r="CL8" s="2" t="s">
        <v>178</v>
      </c>
      <c r="CM8" s="2" t="s">
        <v>177</v>
      </c>
      <c r="CN8" s="2">
        <f>MAX(CN4:CN7)*BN$8</f>
        <v>0</v>
      </c>
      <c r="CO8" s="6">
        <f ca="1">MAX(CO4:CO7)*BN$8</f>
        <v>27780.8603014538</v>
      </c>
      <c r="CP8" s="6">
        <f ca="1">SUM(CP4:CP7)</f>
        <v>27780.8603014538</v>
      </c>
      <c r="CQ8" s="2" cm="1">
        <f t="array" ref="CQ8">INDEX(云配队!$J8:$AC8,1,CQ$1)</f>
        <v>1</v>
      </c>
      <c r="CR8" s="2" t="s">
        <v>538</v>
      </c>
      <c r="CS8" s="2" t="s">
        <v>180</v>
      </c>
      <c r="CT8" s="2" t="s">
        <v>132</v>
      </c>
      <c r="CU8" s="2" t="s">
        <v>181</v>
      </c>
      <c r="CV8" s="2" t="s">
        <v>146</v>
      </c>
      <c r="CW8" s="2" t="s">
        <v>182</v>
      </c>
      <c r="CX8" s="2" t="s">
        <v>161</v>
      </c>
      <c r="CY8" s="2" t="s">
        <v>131</v>
      </c>
      <c r="CZ8" s="2" t="s">
        <v>183</v>
      </c>
      <c r="DA8" s="2" t="s">
        <v>184</v>
      </c>
      <c r="DB8" s="2" t="s">
        <v>185</v>
      </c>
      <c r="DC8" s="2" t="s">
        <v>539</v>
      </c>
      <c r="DD8" s="2" t="s">
        <v>540</v>
      </c>
      <c r="DE8" s="2" t="s">
        <v>541</v>
      </c>
      <c r="DF8" s="2" t="s">
        <v>542</v>
      </c>
      <c r="DG8" s="2" t="s">
        <v>543</v>
      </c>
      <c r="DI8" s="2" t="s">
        <v>186</v>
      </c>
      <c r="DJ8" s="2" t="s">
        <v>135</v>
      </c>
      <c r="DK8" s="2" t="s">
        <v>187</v>
      </c>
      <c r="DM8" s="2" t="s">
        <v>179</v>
      </c>
      <c r="DO8" s="2" t="s">
        <v>178</v>
      </c>
      <c r="DP8" s="2" t="s">
        <v>177</v>
      </c>
      <c r="DQ8" s="2">
        <f>MAX(DQ4:DQ7)*CQ$8</f>
        <v>0</v>
      </c>
      <c r="DR8" s="6">
        <f ca="1">MAX(DR4:DR7)*CQ$8</f>
        <v>29433.812515321</v>
      </c>
      <c r="DS8" s="6">
        <f ca="1">SUM(DS4:DS7)</f>
        <v>29433.812515321</v>
      </c>
      <c r="DT8" s="2" cm="1">
        <f t="array" ref="DT8">INDEX(云配队!$J8:$AC8,1,DT$1)</f>
        <v>0.75</v>
      </c>
      <c r="DU8" s="2" t="s">
        <v>538</v>
      </c>
      <c r="DV8" s="2" t="s">
        <v>180</v>
      </c>
      <c r="DW8" s="2" t="s">
        <v>132</v>
      </c>
      <c r="DX8" s="2" t="s">
        <v>181</v>
      </c>
      <c r="DY8" s="2" t="s">
        <v>146</v>
      </c>
      <c r="DZ8" s="2" t="s">
        <v>182</v>
      </c>
      <c r="EA8" s="2" t="s">
        <v>161</v>
      </c>
      <c r="EB8" s="2" t="s">
        <v>131</v>
      </c>
      <c r="EC8" s="2" t="s">
        <v>183</v>
      </c>
      <c r="ED8" s="2" t="s">
        <v>184</v>
      </c>
      <c r="EE8" s="2" t="s">
        <v>185</v>
      </c>
      <c r="EF8" s="2" t="s">
        <v>539</v>
      </c>
      <c r="EG8" s="2" t="s">
        <v>540</v>
      </c>
      <c r="EH8" s="2" t="s">
        <v>541</v>
      </c>
      <c r="EI8" s="2" t="s">
        <v>542</v>
      </c>
      <c r="EJ8" s="2" t="s">
        <v>543</v>
      </c>
      <c r="EL8" s="2" t="s">
        <v>186</v>
      </c>
      <c r="EM8" s="2" t="s">
        <v>135</v>
      </c>
      <c r="EN8" s="2" t="s">
        <v>187</v>
      </c>
      <c r="EP8" s="2" t="s">
        <v>179</v>
      </c>
      <c r="ER8" s="2" t="s">
        <v>178</v>
      </c>
      <c r="ES8" s="2" t="s">
        <v>177</v>
      </c>
      <c r="ET8" s="2">
        <f>MAX(ET4:ET7)*DT$8</f>
        <v>0</v>
      </c>
      <c r="EU8" s="6">
        <f ca="1">MAX(EU4:EU7)*DT$8</f>
        <v>49584.6533911947</v>
      </c>
      <c r="EV8" s="6">
        <f ca="1">SUM(EV4:EV7)</f>
        <v>49584.6533911947</v>
      </c>
      <c r="EW8" s="2" cm="1">
        <f t="array" ref="EW8">INDEX(云配队!$J8:$AC8,1,EW$1)</f>
        <v>2</v>
      </c>
      <c r="EX8" s="2" t="s">
        <v>538</v>
      </c>
      <c r="EY8" s="2" t="s">
        <v>180</v>
      </c>
      <c r="EZ8" s="2" t="s">
        <v>132</v>
      </c>
      <c r="FA8" s="2" t="s">
        <v>181</v>
      </c>
      <c r="FB8" s="2" t="s">
        <v>146</v>
      </c>
      <c r="FC8" s="2" t="s">
        <v>182</v>
      </c>
      <c r="FD8" s="2" t="s">
        <v>161</v>
      </c>
      <c r="FE8" s="2" t="s">
        <v>131</v>
      </c>
      <c r="FF8" s="2" t="s">
        <v>183</v>
      </c>
      <c r="FG8" s="2" t="s">
        <v>184</v>
      </c>
      <c r="FH8" s="2" t="s">
        <v>185</v>
      </c>
      <c r="FI8" s="2" t="s">
        <v>539</v>
      </c>
      <c r="FJ8" s="2" t="s">
        <v>540</v>
      </c>
      <c r="FK8" s="2" t="s">
        <v>541</v>
      </c>
      <c r="FL8" s="2" t="s">
        <v>542</v>
      </c>
      <c r="FM8" s="2" t="s">
        <v>543</v>
      </c>
      <c r="FO8" s="2" t="s">
        <v>186</v>
      </c>
      <c r="FP8" s="2" t="s">
        <v>135</v>
      </c>
      <c r="FQ8" s="2" t="s">
        <v>187</v>
      </c>
      <c r="FS8" s="2" t="s">
        <v>179</v>
      </c>
      <c r="FU8" s="2" t="s">
        <v>178</v>
      </c>
      <c r="FV8" s="2" t="s">
        <v>177</v>
      </c>
      <c r="FW8" s="2">
        <f>MAX(FW4:FW7)*EW$8</f>
        <v>7.7</v>
      </c>
      <c r="FX8" s="6">
        <f ca="1">MAX(FX4:FX7)*EW$8</f>
        <v>61453.6345154497</v>
      </c>
      <c r="FY8" s="6">
        <f ca="1">SUM(FY4:FY7)</f>
        <v>61453.6345154497</v>
      </c>
      <c r="FZ8" s="2" cm="1">
        <f t="array" ref="FZ8">INDEX(云配队!$J8:$AC8,1,FZ$1)</f>
        <v>0.75</v>
      </c>
      <c r="GA8" s="2" t="s">
        <v>538</v>
      </c>
      <c r="GB8" s="2" t="s">
        <v>180</v>
      </c>
      <c r="GC8" s="2" t="s">
        <v>132</v>
      </c>
      <c r="GD8" s="2" t="s">
        <v>181</v>
      </c>
      <c r="GE8" s="2" t="s">
        <v>146</v>
      </c>
      <c r="GF8" s="2" t="s">
        <v>182</v>
      </c>
      <c r="GG8" s="2" t="s">
        <v>161</v>
      </c>
      <c r="GH8" s="2" t="s">
        <v>131</v>
      </c>
      <c r="GI8" s="2" t="s">
        <v>183</v>
      </c>
      <c r="GJ8" s="2" t="s">
        <v>184</v>
      </c>
      <c r="GK8" s="2" t="s">
        <v>185</v>
      </c>
      <c r="GL8" s="2" t="s">
        <v>539</v>
      </c>
      <c r="GM8" s="2" t="s">
        <v>540</v>
      </c>
      <c r="GN8" s="2" t="s">
        <v>541</v>
      </c>
      <c r="GO8" s="2" t="s">
        <v>542</v>
      </c>
      <c r="GP8" s="2" t="s">
        <v>543</v>
      </c>
      <c r="GR8" s="2" t="s">
        <v>186</v>
      </c>
      <c r="GS8" s="2" t="s">
        <v>135</v>
      </c>
      <c r="GT8" s="2" t="s">
        <v>187</v>
      </c>
      <c r="GV8" s="2" t="s">
        <v>179</v>
      </c>
      <c r="GX8" s="2" t="s">
        <v>178</v>
      </c>
      <c r="GY8" s="2" t="s">
        <v>177</v>
      </c>
      <c r="GZ8" s="2">
        <f>MAX(GZ4:GZ7)*FZ$8</f>
        <v>0</v>
      </c>
      <c r="HA8" s="6">
        <f ca="1">MAX(HA4:HA7)*FZ$8</f>
        <v>18156.1340431045</v>
      </c>
      <c r="HB8" s="6">
        <f ca="1">SUM(HB4:HB7)</f>
        <v>18156.1340431045</v>
      </c>
      <c r="HC8" s="2" cm="1">
        <f t="array" ref="HC8">INDEX(云配队!$J8:$AC8,1,HC$1)</f>
        <v>3</v>
      </c>
      <c r="HD8" s="2" t="s">
        <v>538</v>
      </c>
      <c r="HE8" s="2" t="s">
        <v>180</v>
      </c>
      <c r="HF8" s="2" t="s">
        <v>132</v>
      </c>
      <c r="HG8" s="2" t="s">
        <v>181</v>
      </c>
      <c r="HH8" s="2" t="s">
        <v>146</v>
      </c>
      <c r="HI8" s="2" t="s">
        <v>182</v>
      </c>
      <c r="HJ8" s="2" t="s">
        <v>161</v>
      </c>
      <c r="HK8" s="2" t="s">
        <v>131</v>
      </c>
      <c r="HL8" s="2" t="s">
        <v>183</v>
      </c>
      <c r="HM8" s="2" t="s">
        <v>184</v>
      </c>
      <c r="HN8" s="2" t="s">
        <v>185</v>
      </c>
      <c r="HO8" s="2" t="s">
        <v>539</v>
      </c>
      <c r="HP8" s="2" t="s">
        <v>540</v>
      </c>
      <c r="HQ8" s="2" t="s">
        <v>541</v>
      </c>
      <c r="HR8" s="2" t="s">
        <v>542</v>
      </c>
      <c r="HS8" s="2" t="s">
        <v>543</v>
      </c>
      <c r="HU8" s="2" t="s">
        <v>186</v>
      </c>
      <c r="HV8" s="2" t="s">
        <v>135</v>
      </c>
      <c r="HW8" s="2" t="s">
        <v>187</v>
      </c>
      <c r="HY8" s="2" t="s">
        <v>179</v>
      </c>
      <c r="IA8" s="2" t="s">
        <v>178</v>
      </c>
      <c r="IB8" s="2" t="s">
        <v>177</v>
      </c>
      <c r="IC8" s="2">
        <f>MAX(IC4:IC7)*HC$8</f>
        <v>6.3</v>
      </c>
      <c r="ID8" s="6">
        <f ca="1">MAX(ID4:ID7)*HC$8</f>
        <v>30669.1269851948</v>
      </c>
      <c r="IE8" s="6">
        <f ca="1">SUM(IE4:IE7)</f>
        <v>30669.1269851948</v>
      </c>
      <c r="IF8" s="2" cm="1">
        <f t="array" ref="IF8">INDEX(云配队!$J8:$AC8,1,IF$1)</f>
        <v>1.5</v>
      </c>
      <c r="IG8" s="2" t="s">
        <v>538</v>
      </c>
      <c r="IH8" s="2" t="s">
        <v>180</v>
      </c>
      <c r="II8" s="2" t="s">
        <v>132</v>
      </c>
      <c r="IJ8" s="2" t="s">
        <v>181</v>
      </c>
      <c r="IK8" s="2" t="s">
        <v>146</v>
      </c>
      <c r="IL8" s="2" t="s">
        <v>182</v>
      </c>
      <c r="IM8" s="2" t="s">
        <v>161</v>
      </c>
      <c r="IN8" s="2" t="s">
        <v>131</v>
      </c>
      <c r="IO8" s="2" t="s">
        <v>183</v>
      </c>
      <c r="IP8" s="2" t="s">
        <v>184</v>
      </c>
      <c r="IQ8" s="2" t="s">
        <v>185</v>
      </c>
      <c r="IR8" s="2" t="s">
        <v>539</v>
      </c>
      <c r="IS8" s="2" t="s">
        <v>540</v>
      </c>
      <c r="IT8" s="2" t="s">
        <v>541</v>
      </c>
      <c r="IU8" s="2" t="s">
        <v>542</v>
      </c>
      <c r="IV8" s="2" t="s">
        <v>543</v>
      </c>
      <c r="IX8" s="2" t="s">
        <v>186</v>
      </c>
      <c r="IY8" s="2" t="s">
        <v>135</v>
      </c>
      <c r="IZ8" s="2" t="s">
        <v>187</v>
      </c>
      <c r="JB8" s="2" t="s">
        <v>179</v>
      </c>
      <c r="JD8" s="2" t="s">
        <v>178</v>
      </c>
      <c r="JE8" s="2" t="s">
        <v>177</v>
      </c>
      <c r="JF8" s="2">
        <f>MAX(JF4:JF7)*IF$8</f>
        <v>0</v>
      </c>
      <c r="JG8" s="6">
        <f ca="1">MAX(JG4:JG7)*IF$8</f>
        <v>9430.18598481249</v>
      </c>
      <c r="JH8" s="6">
        <f ca="1">SUM(JH4:JH7)</f>
        <v>9430.18598481249</v>
      </c>
      <c r="JI8" s="2" cm="1">
        <f t="array" ref="JI8">INDEX(云配队!$J8:$AC8,1,JI$1)</f>
        <v>0.5</v>
      </c>
      <c r="JJ8" s="2" t="s">
        <v>538</v>
      </c>
      <c r="JK8" s="2" t="s">
        <v>180</v>
      </c>
      <c r="JL8" s="2" t="s">
        <v>132</v>
      </c>
      <c r="JM8" s="2" t="s">
        <v>181</v>
      </c>
      <c r="JN8" s="2" t="s">
        <v>146</v>
      </c>
      <c r="JO8" s="2" t="s">
        <v>182</v>
      </c>
      <c r="JP8" s="2" t="s">
        <v>161</v>
      </c>
      <c r="JQ8" s="2" t="s">
        <v>131</v>
      </c>
      <c r="JR8" s="2" t="s">
        <v>183</v>
      </c>
      <c r="JS8" s="2" t="s">
        <v>184</v>
      </c>
      <c r="JT8" s="2" t="s">
        <v>185</v>
      </c>
      <c r="JU8" s="2" t="s">
        <v>539</v>
      </c>
      <c r="JV8" s="2" t="s">
        <v>540</v>
      </c>
      <c r="JW8" s="2" t="s">
        <v>541</v>
      </c>
      <c r="JX8" s="2" t="s">
        <v>542</v>
      </c>
      <c r="JY8" s="2" t="s">
        <v>543</v>
      </c>
      <c r="KA8" s="2" t="s">
        <v>186</v>
      </c>
      <c r="KB8" s="2" t="s">
        <v>135</v>
      </c>
      <c r="KC8" s="2" t="s">
        <v>187</v>
      </c>
      <c r="KE8" s="2" t="s">
        <v>179</v>
      </c>
      <c r="KG8" s="2" t="s">
        <v>178</v>
      </c>
      <c r="KH8" s="2" t="s">
        <v>177</v>
      </c>
      <c r="KI8" s="2">
        <f>MAX(KI4:KI7)*JI$8</f>
        <v>0</v>
      </c>
      <c r="KJ8" s="6">
        <f ca="1">MAX(KJ4:KJ7)*JI$8</f>
        <v>12814.9102476582</v>
      </c>
      <c r="KK8" s="6">
        <f ca="1">SUM(KK4:KK7)</f>
        <v>12814.9102476582</v>
      </c>
      <c r="KL8" s="2" cm="1">
        <f t="array" ref="KL8">INDEX(云配队!$J8:$AC8,1,KL$1)</f>
        <v>0.5</v>
      </c>
      <c r="KM8" s="2" t="s">
        <v>538</v>
      </c>
      <c r="KN8" s="2" t="s">
        <v>180</v>
      </c>
      <c r="KO8" s="2" t="s">
        <v>132</v>
      </c>
      <c r="KP8" s="2" t="s">
        <v>181</v>
      </c>
      <c r="KQ8" s="2" t="s">
        <v>146</v>
      </c>
      <c r="KR8" s="2" t="s">
        <v>182</v>
      </c>
      <c r="KS8" s="2" t="s">
        <v>161</v>
      </c>
      <c r="KT8" s="2" t="s">
        <v>131</v>
      </c>
      <c r="KU8" s="2" t="s">
        <v>183</v>
      </c>
      <c r="KV8" s="2" t="s">
        <v>184</v>
      </c>
      <c r="KW8" s="2" t="s">
        <v>185</v>
      </c>
      <c r="KX8" s="2" t="s">
        <v>539</v>
      </c>
      <c r="KY8" s="2" t="s">
        <v>540</v>
      </c>
      <c r="KZ8" s="2" t="s">
        <v>541</v>
      </c>
      <c r="LA8" s="2" t="s">
        <v>542</v>
      </c>
      <c r="LB8" s="2" t="s">
        <v>543</v>
      </c>
      <c r="LD8" s="2" t="s">
        <v>186</v>
      </c>
      <c r="LE8" s="2" t="s">
        <v>135</v>
      </c>
      <c r="LF8" s="2" t="s">
        <v>187</v>
      </c>
      <c r="LH8" s="2" t="s">
        <v>179</v>
      </c>
      <c r="LJ8" s="2" t="s">
        <v>178</v>
      </c>
      <c r="LK8" s="2" t="s">
        <v>177</v>
      </c>
      <c r="LL8" s="2">
        <f>MAX(LL4:LL7)*KL$8</f>
        <v>0</v>
      </c>
      <c r="LM8" s="6">
        <f ca="1">MAX(LM4:LM7)*KL$8</f>
        <v>9026.21716708995</v>
      </c>
      <c r="LN8" s="6">
        <f ca="1">SUM(LN4:LN7)</f>
        <v>9026.21716708995</v>
      </c>
      <c r="LO8" s="2" cm="1">
        <f t="array" ref="LO8">INDEX(云配队!$J8:$AC8,1,LO$1)</f>
        <v>1</v>
      </c>
      <c r="LP8" s="2" t="s">
        <v>538</v>
      </c>
      <c r="LQ8" s="2" t="s">
        <v>180</v>
      </c>
      <c r="LR8" s="2" t="s">
        <v>132</v>
      </c>
      <c r="LS8" s="2" t="s">
        <v>181</v>
      </c>
      <c r="LT8" s="2" t="s">
        <v>146</v>
      </c>
      <c r="LU8" s="2" t="s">
        <v>182</v>
      </c>
      <c r="LV8" s="2" t="s">
        <v>161</v>
      </c>
      <c r="LW8" s="2" t="s">
        <v>131</v>
      </c>
      <c r="LX8" s="2" t="s">
        <v>183</v>
      </c>
      <c r="LY8" s="2" t="s">
        <v>184</v>
      </c>
      <c r="LZ8" s="2" t="s">
        <v>185</v>
      </c>
      <c r="MA8" s="2" t="s">
        <v>539</v>
      </c>
      <c r="MB8" s="2" t="s">
        <v>540</v>
      </c>
      <c r="MC8" s="2" t="s">
        <v>541</v>
      </c>
      <c r="MD8" s="2" t="s">
        <v>542</v>
      </c>
      <c r="ME8" s="2" t="s">
        <v>543</v>
      </c>
      <c r="MG8" s="2" t="s">
        <v>186</v>
      </c>
      <c r="MH8" s="2" t="s">
        <v>135</v>
      </c>
      <c r="MI8" s="2" t="s">
        <v>187</v>
      </c>
      <c r="MK8" s="2" t="s">
        <v>179</v>
      </c>
      <c r="MM8" s="2" t="s">
        <v>178</v>
      </c>
      <c r="MN8" s="2" t="s">
        <v>177</v>
      </c>
      <c r="MO8" s="2">
        <f>MAX(MO4:MO7)*LO$8</f>
        <v>0</v>
      </c>
      <c r="MP8" s="6">
        <f ca="1">MAX(MP4:MP7)*LO$8</f>
        <v>13235.0712393847</v>
      </c>
      <c r="MQ8" s="6">
        <f ca="1">SUM(MQ4:MQ7)</f>
        <v>13235.0712393847</v>
      </c>
      <c r="MR8" s="2" cm="1">
        <f t="array" ref="MR8">INDEX(云配队!$J8:$AC8,1,MR$1)</f>
        <v>1</v>
      </c>
      <c r="MS8" s="2" t="s">
        <v>538</v>
      </c>
      <c r="MT8" s="2" t="s">
        <v>180</v>
      </c>
      <c r="MU8" s="2" t="s">
        <v>132</v>
      </c>
      <c r="MV8" s="2" t="s">
        <v>181</v>
      </c>
      <c r="MW8" s="2" t="s">
        <v>146</v>
      </c>
      <c r="MX8" s="2" t="s">
        <v>182</v>
      </c>
      <c r="MY8" s="2" t="s">
        <v>161</v>
      </c>
      <c r="MZ8" s="2" t="s">
        <v>131</v>
      </c>
      <c r="NA8" s="2" t="s">
        <v>183</v>
      </c>
      <c r="NB8" s="2" t="s">
        <v>184</v>
      </c>
      <c r="NC8" s="2" t="s">
        <v>185</v>
      </c>
      <c r="ND8" s="2" t="s">
        <v>539</v>
      </c>
      <c r="NE8" s="2" t="s">
        <v>540</v>
      </c>
      <c r="NF8" s="2" t="s">
        <v>541</v>
      </c>
      <c r="NG8" s="2" t="s">
        <v>542</v>
      </c>
      <c r="NH8" s="2" t="s">
        <v>543</v>
      </c>
      <c r="NJ8" s="2" t="s">
        <v>186</v>
      </c>
      <c r="NK8" s="2" t="s">
        <v>135</v>
      </c>
      <c r="NL8" s="2" t="s">
        <v>187</v>
      </c>
      <c r="NN8" s="2" t="s">
        <v>179</v>
      </c>
      <c r="NP8" s="2" t="s">
        <v>178</v>
      </c>
      <c r="NQ8" s="2" t="s">
        <v>177</v>
      </c>
      <c r="NR8" s="2">
        <f>MAX(NR4:NR7)*MR$8</f>
        <v>0</v>
      </c>
      <c r="NS8" s="6">
        <f ca="1">MAX(NS4:NS7)*MR$8</f>
        <v>25441.2403325373</v>
      </c>
      <c r="NT8" s="6">
        <f ca="1">SUM(NT4:NT7)</f>
        <v>25441.2403325373</v>
      </c>
      <c r="NU8" s="2" cm="1">
        <f t="array" ref="NU8">INDEX(云配队!$J8:$AC8,1,NU$1)</f>
        <v>1</v>
      </c>
      <c r="NV8" s="2" t="s">
        <v>538</v>
      </c>
      <c r="NW8" s="2" t="s">
        <v>180</v>
      </c>
      <c r="NX8" s="2" t="s">
        <v>132</v>
      </c>
      <c r="NY8" s="2" t="s">
        <v>181</v>
      </c>
      <c r="NZ8" s="2" t="s">
        <v>146</v>
      </c>
      <c r="OA8" s="2" t="s">
        <v>182</v>
      </c>
      <c r="OB8" s="2" t="s">
        <v>161</v>
      </c>
      <c r="OC8" s="2" t="s">
        <v>131</v>
      </c>
      <c r="OD8" s="2" t="s">
        <v>183</v>
      </c>
      <c r="OE8" s="2" t="s">
        <v>184</v>
      </c>
      <c r="OF8" s="2" t="s">
        <v>185</v>
      </c>
      <c r="OG8" s="2" t="s">
        <v>539</v>
      </c>
      <c r="OH8" s="2" t="s">
        <v>540</v>
      </c>
      <c r="OI8" s="2" t="s">
        <v>541</v>
      </c>
      <c r="OJ8" s="2" t="s">
        <v>542</v>
      </c>
      <c r="OK8" s="2" t="s">
        <v>543</v>
      </c>
      <c r="OM8" s="2" t="s">
        <v>186</v>
      </c>
      <c r="ON8" s="2" t="s">
        <v>135</v>
      </c>
      <c r="OO8" s="2" t="s">
        <v>187</v>
      </c>
      <c r="OQ8" s="2" t="s">
        <v>179</v>
      </c>
      <c r="OS8" s="2" t="s">
        <v>178</v>
      </c>
      <c r="OT8" s="2" t="s">
        <v>177</v>
      </c>
      <c r="OU8" s="2">
        <f>MAX(OU4:OU7)*NU$8</f>
        <v>0.3</v>
      </c>
      <c r="OV8" s="6">
        <f ca="1">MAX(OV4:OV7)*NU$8</f>
        <v>10465.3290379667</v>
      </c>
      <c r="OW8" s="6">
        <f ca="1">SUM(OW4:OW7)</f>
        <v>10465.3290379667</v>
      </c>
      <c r="OX8" s="2" cm="1">
        <f t="array" ref="OX8">INDEX(云配队!$J8:$AC8,1,OX$1)</f>
        <v>1</v>
      </c>
      <c r="OY8" s="2" t="s">
        <v>538</v>
      </c>
      <c r="OZ8" s="2" t="s">
        <v>180</v>
      </c>
      <c r="PA8" s="2" t="s">
        <v>132</v>
      </c>
      <c r="PB8" s="2" t="s">
        <v>181</v>
      </c>
      <c r="PC8" s="2" t="s">
        <v>146</v>
      </c>
      <c r="PD8" s="2" t="s">
        <v>182</v>
      </c>
      <c r="PE8" s="2" t="s">
        <v>161</v>
      </c>
      <c r="PF8" s="2" t="s">
        <v>131</v>
      </c>
      <c r="PG8" s="2" t="s">
        <v>183</v>
      </c>
      <c r="PH8" s="2" t="s">
        <v>184</v>
      </c>
      <c r="PI8" s="2" t="s">
        <v>185</v>
      </c>
      <c r="PJ8" s="2" t="s">
        <v>539</v>
      </c>
      <c r="PK8" s="2" t="s">
        <v>540</v>
      </c>
      <c r="PL8" s="2" t="s">
        <v>541</v>
      </c>
      <c r="PM8" s="2" t="s">
        <v>542</v>
      </c>
      <c r="PN8" s="2" t="s">
        <v>543</v>
      </c>
      <c r="PP8" s="2" t="s">
        <v>186</v>
      </c>
      <c r="PQ8" s="2" t="s">
        <v>135</v>
      </c>
      <c r="PR8" s="2" t="s">
        <v>187</v>
      </c>
      <c r="PT8" s="2" t="s">
        <v>179</v>
      </c>
      <c r="PV8" s="2" t="s">
        <v>178</v>
      </c>
      <c r="PW8" s="2" t="s">
        <v>177</v>
      </c>
      <c r="PX8" s="2">
        <f>MAX(PX4:PX7)*OX$8</f>
        <v>0</v>
      </c>
      <c r="PY8" s="6">
        <f ca="1">MAX(PY4:PY7)*OX$8</f>
        <v>15713.7072642142</v>
      </c>
      <c r="PZ8" s="6">
        <f ca="1">SUM(PZ4:PZ7)</f>
        <v>15713.7072642142</v>
      </c>
      <c r="QA8" s="2" cm="1">
        <f t="array" ref="QA8">INDEX(云配队!$J8:$AC8,1,QA$1)</f>
        <v>12</v>
      </c>
      <c r="QB8" s="2" t="s">
        <v>538</v>
      </c>
      <c r="QC8" s="2" t="s">
        <v>180</v>
      </c>
      <c r="QD8" s="2" t="s">
        <v>132</v>
      </c>
      <c r="QE8" s="2" t="s">
        <v>181</v>
      </c>
      <c r="QF8" s="2" t="s">
        <v>146</v>
      </c>
      <c r="QG8" s="2" t="s">
        <v>182</v>
      </c>
      <c r="QH8" s="2" t="s">
        <v>161</v>
      </c>
      <c r="QI8" s="2" t="s">
        <v>131</v>
      </c>
      <c r="QJ8" s="2" t="s">
        <v>183</v>
      </c>
      <c r="QK8" s="2" t="s">
        <v>184</v>
      </c>
      <c r="QL8" s="2" t="s">
        <v>185</v>
      </c>
      <c r="QM8" s="2" t="s">
        <v>539</v>
      </c>
      <c r="QN8" s="2" t="s">
        <v>540</v>
      </c>
      <c r="QO8" s="2" t="s">
        <v>541</v>
      </c>
      <c r="QP8" s="2" t="s">
        <v>542</v>
      </c>
      <c r="QQ8" s="2" t="s">
        <v>543</v>
      </c>
      <c r="QS8" s="2" t="s">
        <v>186</v>
      </c>
      <c r="QT8" s="2" t="s">
        <v>135</v>
      </c>
      <c r="QU8" s="2" t="s">
        <v>187</v>
      </c>
      <c r="QW8" s="2" t="s">
        <v>179</v>
      </c>
      <c r="QY8" s="2" t="s">
        <v>178</v>
      </c>
      <c r="QZ8" s="2" t="s">
        <v>177</v>
      </c>
      <c r="RA8" s="2">
        <f>MAX(RA4:RA7)*QA$8</f>
        <v>0</v>
      </c>
      <c r="RB8" s="6">
        <f ca="1">MAX(RB4:RB7)*QA$8</f>
        <v>22897.1162992836</v>
      </c>
      <c r="RC8" s="6">
        <f ca="1">SUM(RC4:RC7)</f>
        <v>22897.1162992836</v>
      </c>
      <c r="RD8" s="2" cm="1">
        <f t="array" ref="RD8">INDEX(云配队!$J8:$AC8,1,RD$1)</f>
        <v>1</v>
      </c>
      <c r="RE8" s="2" t="s">
        <v>538</v>
      </c>
      <c r="RF8" s="2" t="s">
        <v>180</v>
      </c>
      <c r="RG8" s="2" t="s">
        <v>132</v>
      </c>
      <c r="RH8" s="2" t="s">
        <v>181</v>
      </c>
      <c r="RI8" s="2" t="s">
        <v>146</v>
      </c>
      <c r="RJ8" s="2" t="s">
        <v>182</v>
      </c>
      <c r="RK8" s="2" t="s">
        <v>161</v>
      </c>
      <c r="RL8" s="2" t="s">
        <v>131</v>
      </c>
      <c r="RM8" s="2" t="s">
        <v>183</v>
      </c>
      <c r="RN8" s="2" t="s">
        <v>184</v>
      </c>
      <c r="RO8" s="2" t="s">
        <v>185</v>
      </c>
      <c r="RP8" s="2" t="s">
        <v>539</v>
      </c>
      <c r="RQ8" s="2" t="s">
        <v>540</v>
      </c>
      <c r="RR8" s="2" t="s">
        <v>541</v>
      </c>
      <c r="RS8" s="2" t="s">
        <v>542</v>
      </c>
      <c r="RT8" s="2" t="s">
        <v>543</v>
      </c>
      <c r="RV8" s="2" t="s">
        <v>186</v>
      </c>
      <c r="RW8" s="2" t="s">
        <v>135</v>
      </c>
      <c r="RX8" s="2" t="s">
        <v>187</v>
      </c>
      <c r="RZ8" s="2" t="s">
        <v>179</v>
      </c>
      <c r="SB8" s="2" t="s">
        <v>178</v>
      </c>
      <c r="SC8" s="2" t="s">
        <v>177</v>
      </c>
      <c r="SD8" s="2">
        <f>MAX(SD4:SD7)*RD$8</f>
        <v>1.3</v>
      </c>
      <c r="SE8" s="6">
        <f ca="1">MAX(SE4:SE7)*RD$8</f>
        <v>10475.8048428095</v>
      </c>
      <c r="SF8" s="6">
        <f ca="1">SUM(SF4:SF7)</f>
        <v>18772.5077689378</v>
      </c>
      <c r="SG8" s="2" cm="1">
        <f t="array" ref="SG8">INDEX(云配队!$J8:$AC8,1,SG$1)</f>
        <v>1</v>
      </c>
      <c r="SH8" s="2" t="s">
        <v>538</v>
      </c>
      <c r="SI8" s="2" t="s">
        <v>180</v>
      </c>
      <c r="SJ8" s="2" t="s">
        <v>132</v>
      </c>
      <c r="SK8" s="2" t="s">
        <v>181</v>
      </c>
      <c r="SL8" s="2" t="s">
        <v>146</v>
      </c>
      <c r="SM8" s="2" t="s">
        <v>182</v>
      </c>
      <c r="SN8" s="2" t="s">
        <v>161</v>
      </c>
      <c r="SO8" s="2" t="s">
        <v>131</v>
      </c>
      <c r="SP8" s="2" t="s">
        <v>183</v>
      </c>
      <c r="SQ8" s="2" t="s">
        <v>184</v>
      </c>
      <c r="SR8" s="2" t="s">
        <v>185</v>
      </c>
      <c r="SS8" s="2" t="s">
        <v>539</v>
      </c>
      <c r="ST8" s="2" t="s">
        <v>540</v>
      </c>
      <c r="SU8" s="2" t="s">
        <v>541</v>
      </c>
      <c r="SV8" s="2" t="s">
        <v>542</v>
      </c>
      <c r="SW8" s="2" t="s">
        <v>543</v>
      </c>
      <c r="SY8" s="2" t="s">
        <v>186</v>
      </c>
      <c r="SZ8" s="2" t="s">
        <v>135</v>
      </c>
      <c r="TA8" s="2" t="s">
        <v>187</v>
      </c>
      <c r="TC8" s="2" t="s">
        <v>179</v>
      </c>
      <c r="TE8" s="2" t="s">
        <v>178</v>
      </c>
      <c r="TF8" s="2" t="s">
        <v>177</v>
      </c>
      <c r="TG8" s="2">
        <f>MAX(TG4:TG7)*SG$8</f>
        <v>0</v>
      </c>
      <c r="TH8" s="6">
        <f ca="1">MAX(TH4:TH7)*SG$8</f>
        <v>31427.4145284284</v>
      </c>
      <c r="TI8" s="6">
        <f ca="1">SUM(TI4:TI7)</f>
        <v>31427.4145284284</v>
      </c>
      <c r="TJ8" s="2" cm="1">
        <f t="array" ref="TJ8">INDEX(云配队!$J8:$AC8,1,TJ$1)</f>
        <v>1</v>
      </c>
      <c r="TK8" s="2" t="s">
        <v>538</v>
      </c>
      <c r="TL8" s="2" t="s">
        <v>180</v>
      </c>
      <c r="TM8" s="2" t="s">
        <v>132</v>
      </c>
      <c r="TN8" s="2" t="s">
        <v>181</v>
      </c>
      <c r="TO8" s="2" t="s">
        <v>146</v>
      </c>
      <c r="TP8" s="2" t="s">
        <v>182</v>
      </c>
      <c r="TQ8" s="2" t="s">
        <v>161</v>
      </c>
      <c r="TR8" s="2" t="s">
        <v>131</v>
      </c>
      <c r="TS8" s="2" t="s">
        <v>183</v>
      </c>
      <c r="TT8" s="2" t="s">
        <v>184</v>
      </c>
      <c r="TU8" s="2" t="s">
        <v>185</v>
      </c>
      <c r="TV8" s="2" t="s">
        <v>539</v>
      </c>
      <c r="TW8" s="2" t="s">
        <v>540</v>
      </c>
      <c r="TX8" s="2" t="s">
        <v>541</v>
      </c>
      <c r="TY8" s="2" t="s">
        <v>542</v>
      </c>
      <c r="TZ8" s="2" t="s">
        <v>543</v>
      </c>
      <c r="UB8" s="2" t="s">
        <v>186</v>
      </c>
      <c r="UC8" s="2" t="s">
        <v>135</v>
      </c>
      <c r="UD8" s="2" t="s">
        <v>187</v>
      </c>
      <c r="UF8" s="2" t="s">
        <v>179</v>
      </c>
      <c r="UH8" s="2" t="s">
        <v>178</v>
      </c>
      <c r="UI8" s="2" t="s">
        <v>177</v>
      </c>
      <c r="UJ8" s="2">
        <f>MAX(UJ4:UJ7)*TJ$8</f>
        <v>0</v>
      </c>
      <c r="UK8" s="6">
        <f ca="1">MAX(UK4:UK7)*TJ$8</f>
        <v>6360.31008313433</v>
      </c>
      <c r="UL8" s="6">
        <f ca="1">SUM(UL4:UL7)</f>
        <v>6360.31008313433</v>
      </c>
      <c r="UM8" s="2" cm="1">
        <f t="array" ref="UM8">INDEX(云配队!$J8:$AC8,1,UM$1)</f>
        <v>12</v>
      </c>
      <c r="UN8" s="2" t="s">
        <v>538</v>
      </c>
      <c r="UO8" s="2" t="s">
        <v>180</v>
      </c>
      <c r="UP8" s="2" t="s">
        <v>132</v>
      </c>
      <c r="UQ8" s="2" t="s">
        <v>181</v>
      </c>
      <c r="UR8" s="2" t="s">
        <v>146</v>
      </c>
      <c r="US8" s="2" t="s">
        <v>182</v>
      </c>
      <c r="UT8" s="2" t="s">
        <v>161</v>
      </c>
      <c r="UU8" s="2" t="s">
        <v>131</v>
      </c>
      <c r="UV8" s="2" t="s">
        <v>183</v>
      </c>
      <c r="UW8" s="2" t="s">
        <v>184</v>
      </c>
      <c r="UX8" s="2" t="s">
        <v>185</v>
      </c>
      <c r="UY8" s="2" t="s">
        <v>539</v>
      </c>
      <c r="UZ8" s="2" t="s">
        <v>540</v>
      </c>
      <c r="VA8" s="2" t="s">
        <v>541</v>
      </c>
      <c r="VB8" s="2" t="s">
        <v>542</v>
      </c>
      <c r="VC8" s="2" t="s">
        <v>543</v>
      </c>
      <c r="VE8" s="2" t="s">
        <v>186</v>
      </c>
      <c r="VF8" s="2" t="s">
        <v>135</v>
      </c>
      <c r="VG8" s="2" t="s">
        <v>187</v>
      </c>
      <c r="VI8" s="2" t="s">
        <v>179</v>
      </c>
      <c r="VK8" s="2" t="s">
        <v>178</v>
      </c>
      <c r="VL8" s="2" t="s">
        <v>177</v>
      </c>
      <c r="VM8" s="2">
        <f>MAX(VM4:VM7)*UM$8</f>
        <v>0</v>
      </c>
      <c r="VN8" s="6">
        <f ca="1">MAX(VN4:VN7)*UM$8</f>
        <v>36331.3263695291</v>
      </c>
      <c r="VO8" s="6">
        <f ca="1">SUM(VO4:VO7)</f>
        <v>36331.3263695291</v>
      </c>
      <c r="VP8" s="2" cm="1">
        <f t="array" ref="VP8">INDEX(云配队!$J8:$AC8,1,VP$1)</f>
        <v>1.5</v>
      </c>
      <c r="VQ8" s="2" t="s">
        <v>538</v>
      </c>
      <c r="VR8" s="2" t="s">
        <v>180</v>
      </c>
      <c r="VS8" s="2" t="s">
        <v>132</v>
      </c>
      <c r="VT8" s="2" t="s">
        <v>181</v>
      </c>
      <c r="VU8" s="2" t="s">
        <v>146</v>
      </c>
      <c r="VV8" s="2" t="s">
        <v>182</v>
      </c>
      <c r="VW8" s="2" t="s">
        <v>161</v>
      </c>
      <c r="VX8" s="2" t="s">
        <v>131</v>
      </c>
      <c r="VY8" s="2" t="s">
        <v>183</v>
      </c>
      <c r="VZ8" s="2" t="s">
        <v>184</v>
      </c>
      <c r="WA8" s="2" t="s">
        <v>185</v>
      </c>
      <c r="WB8" s="2" t="s">
        <v>539</v>
      </c>
      <c r="WC8" s="2" t="s">
        <v>540</v>
      </c>
      <c r="WD8" s="2" t="s">
        <v>541</v>
      </c>
      <c r="WE8" s="2" t="s">
        <v>542</v>
      </c>
      <c r="WF8" s="2" t="s">
        <v>543</v>
      </c>
      <c r="WH8" s="2" t="s">
        <v>186</v>
      </c>
      <c r="WI8" s="2" t="s">
        <v>135</v>
      </c>
      <c r="WJ8" s="2" t="s">
        <v>187</v>
      </c>
      <c r="WL8" s="2" t="s">
        <v>179</v>
      </c>
      <c r="WN8" s="2" t="s">
        <v>178</v>
      </c>
      <c r="WO8" s="2" t="s">
        <v>177</v>
      </c>
      <c r="WP8" s="2">
        <f>MAX(WP4:WP7)*VP$8</f>
        <v>0</v>
      </c>
      <c r="WQ8" s="6">
        <f ca="1">MAX(WQ4:WQ7)*VP$8</f>
        <v>0</v>
      </c>
      <c r="WR8" s="6">
        <f ca="1">SUM(WR4:WR7)</f>
        <v>0</v>
      </c>
    </row>
    <row r="9" spans="1:616">
      <c r="S9" s="2" t="s">
        <v>475</v>
      </c>
      <c r="T9" s="2" t="s">
        <v>544</v>
      </c>
      <c r="U9" s="5"/>
      <c r="V9" s="2" t="s">
        <v>545</v>
      </c>
      <c r="W9" s="2" t="s">
        <v>546</v>
      </c>
      <c r="X9" s="2" t="s">
        <v>547</v>
      </c>
      <c r="Y9" s="2" t="s">
        <v>548</v>
      </c>
      <c r="Z9" s="2" t="s">
        <v>549</v>
      </c>
      <c r="AB9" s="2" t="s">
        <v>550</v>
      </c>
      <c r="AC9" s="2" t="s">
        <v>551</v>
      </c>
      <c r="AD9" s="2" t="s">
        <v>552</v>
      </c>
      <c r="AE9" s="2" t="s">
        <v>553</v>
      </c>
      <c r="AF9" s="2" t="s">
        <v>554</v>
      </c>
      <c r="AG9" s="2" t="s">
        <v>555</v>
      </c>
      <c r="AI9" s="2">
        <f>IF(云配队!H14&gt;0,云配队!H14,1)</f>
        <v>1</v>
      </c>
      <c r="AK9" s="2" cm="1">
        <f t="array" ref="AK9">INDEX(云配队!$J14:$AC14,1,AK$1)</f>
        <v>0</v>
      </c>
      <c r="AL9" s="2">
        <f>IFERROR(MATCH(AK9,增益!$A$2:$A$40,FALSE),1)</f>
        <v>1</v>
      </c>
      <c r="AM9" s="2" cm="1">
        <f t="array" ref="AM9">INDEX(增益!$A$2:$Q$40,AL9,MATCH(AM$8,增益!$B$1:$Q$1,0)+1)*$AI9</f>
        <v>0</v>
      </c>
      <c r="AN9" s="2" cm="1">
        <f t="array" ref="AN9">INDEX(增益!$A$2:$Q$40,AL9,MATCH(AN$8,增益!$B$1:$Q$1,0)+1)*$AI9</f>
        <v>0</v>
      </c>
      <c r="AO9" s="2" cm="1">
        <f t="array" ref="AO9">INDEX(增益!$A$2:$Q$40,AL9,MATCH(AO$8,增益!$B$1:$Q$1,0)+1)*$AI9</f>
        <v>0</v>
      </c>
      <c r="AP9" s="2" cm="1">
        <f t="array" ref="AP9">INDEX(增益!$A$2:$Q$40,AL9,MATCH(AP$8,增益!$B$1:$Q$1,0)+1)*$AI9</f>
        <v>0</v>
      </c>
      <c r="AQ9" s="2" cm="1">
        <f t="array" ref="AQ9">INDEX(增益!$A$2:$Q$40,AL9,MATCH(AQ$8,增益!$B$1:$Q$1,0)+1)*$AI9</f>
        <v>0</v>
      </c>
      <c r="AR9" s="2" cm="1">
        <f t="array" ref="AR9">INDEX(增益!$A$2:$Q$40,AL9,MATCH(AR$8,增益!$B$1:$Q$1,0)+1)*$AI9</f>
        <v>0</v>
      </c>
      <c r="AS9" s="2" cm="1">
        <f t="array" ref="AS9">INDEX(增益!$A$2:$Q$40,AL9,MATCH(AS$8,增益!$B$1:$Q$1,0)+1)*$AI9</f>
        <v>0</v>
      </c>
      <c r="AT9" s="2" cm="1">
        <f t="array" ref="AT9">INDEX(增益!$A$2:$Q$40,AL9,MATCH(AT$8,增益!$B$1:$Q$1,0)+1)*$AI9</f>
        <v>0</v>
      </c>
      <c r="AU9" s="2" cm="1">
        <f t="array" ref="AU9">INDEX(增益!$A$2:$Q$40,AL9,MATCH(AU$8,增益!$B$1:$Q$1,0)+1)*$AI9</f>
        <v>0</v>
      </c>
      <c r="AV9" s="2" cm="1">
        <f t="array" ref="AV9">INDEX(增益!$A$2:$Q$40,AL9,MATCH(AV$8,增益!$B$1:$Q$1,0)+1)*$AI9</f>
        <v>0</v>
      </c>
      <c r="AW9" s="2" cm="1">
        <f t="array" ref="AW9">INDEX(动作!$O$3:$O$113,AL4)</f>
        <v>0</v>
      </c>
      <c r="AX9" s="2" cm="1">
        <f t="array" ref="AX9">INDEX(动作!$P$3:$P$113,AL4)</f>
        <v>0</v>
      </c>
      <c r="AY9" s="2" cm="1">
        <f t="array" ref="AY9">INDEX(动作!$Q$3:$Q$113,AL4)</f>
        <v>0</v>
      </c>
      <c r="AZ9" s="2" cm="1">
        <f t="array" ref="AZ9">INDEX(动作!$R$3:$R$113,AL4)</f>
        <v>0</v>
      </c>
      <c r="BA9" s="2" cm="1">
        <f t="array" ref="BA9">INDEX(动作!$S$3:$S$113,AL4)</f>
        <v>0</v>
      </c>
      <c r="BC9" s="2" cm="1">
        <f t="array" ref="BC9">INDEX(增益!$A$2:$Q$40,AL9,MATCH(BC$8,增益!$B$1:$Q$1,0)+1)*$AI9</f>
        <v>0</v>
      </c>
      <c r="BD9" s="2" cm="1">
        <f t="array" ref="BD9">INDEX(增益!$A$2:$Q$40,AL9,MATCH(BD$8,增益!$B$1:$Q$1,0)+1)*$AI9</f>
        <v>0</v>
      </c>
      <c r="BE9" s="2" cm="1">
        <f t="array" ref="BE9">INDEX(增益!$A$2:$Q$40,AL9,MATCH(BE$8,增益!$B$1:$Q$1,0)+1)*$AI9</f>
        <v>0</v>
      </c>
      <c r="BG9" s="2" cm="1">
        <f t="array" ref="BG9">INDEX(增益!$A$2:$Q$40,AL9,MATCH(BG$8,增益!$B$1:$Q$1,0)+1)*$AI9</f>
        <v>0</v>
      </c>
      <c r="BI9" s="2" cm="1">
        <f t="array" ref="BI9">INDEX(增益!$A$2:$Q$40,AL9,MATCH(BI$8,增益!$B$1:$Q$1,0)+1)*$AI9</f>
        <v>0</v>
      </c>
      <c r="BJ9" s="2" cm="1">
        <f t="array" ref="BJ9">INDEX(增益!$A$2:$Q$40,AL9,MATCH(BJ$8,增益!$B$1:$Q$1,0)+1)*$AI9</f>
        <v>0</v>
      </c>
      <c r="BN9" s="2" cm="1">
        <f t="array" ref="BN9">INDEX(云配队!$J14:$AC14,1,BN$1)</f>
        <v>0</v>
      </c>
      <c r="BO9" s="2">
        <f>IFERROR(MATCH(BN9,增益!$A$2:$A$40,FALSE),1)</f>
        <v>1</v>
      </c>
      <c r="BP9" s="2" cm="1">
        <f t="array" ref="BP9">INDEX(增益!$A$2:$Q$40,BO9,MATCH(BP$8,增益!$B$1:$Q$1,0)+1)*$AI9</f>
        <v>0</v>
      </c>
      <c r="BQ9" s="2" cm="1">
        <f t="array" ref="BQ9">INDEX(增益!$A$2:$Q$40,BO9,MATCH(BQ$8,增益!$B$1:$Q$1,0)+1)*$AI9</f>
        <v>0</v>
      </c>
      <c r="BR9" s="2" cm="1">
        <f t="array" ref="BR9">INDEX(增益!$A$2:$Q$40,BO9,MATCH(BR$8,增益!$B$1:$Q$1,0)+1)*$AI9</f>
        <v>0</v>
      </c>
      <c r="BS9" s="2" cm="1">
        <f t="array" ref="BS9">INDEX(增益!$A$2:$Q$40,BO9,MATCH(BS$8,增益!$B$1:$Q$1,0)+1)*$AI9</f>
        <v>0</v>
      </c>
      <c r="BT9" s="2" cm="1">
        <f t="array" ref="BT9">INDEX(增益!$A$2:$Q$40,BO9,MATCH(BT$8,增益!$B$1:$Q$1,0)+1)*$AI9</f>
        <v>0</v>
      </c>
      <c r="BU9" s="2" cm="1">
        <f t="array" ref="BU9">INDEX(增益!$A$2:$Q$40,BO9,MATCH(BU$8,增益!$B$1:$Q$1,0)+1)*$AI9</f>
        <v>0</v>
      </c>
      <c r="BV9" s="2" cm="1">
        <f t="array" ref="BV9">INDEX(增益!$A$2:$Q$40,BO9,MATCH(BV$8,增益!$B$1:$Q$1,0)+1)*$AI9</f>
        <v>0</v>
      </c>
      <c r="BW9" s="2" cm="1">
        <f t="array" ref="BW9">INDEX(增益!$A$2:$Q$40,BO9,MATCH(BW$8,增益!$B$1:$Q$1,0)+1)*$AI9</f>
        <v>0</v>
      </c>
      <c r="BX9" s="2" cm="1">
        <f t="array" ref="BX9">INDEX(增益!$A$2:$Q$40,BO9,MATCH(BX$8,增益!$B$1:$Q$1,0)+1)*$AI9</f>
        <v>0</v>
      </c>
      <c r="BY9" s="2" cm="1">
        <f t="array" ref="BY9">INDEX(增益!$A$2:$Q$40,BO9,MATCH(BY$8,增益!$B$1:$Q$1,0)+1)*$AI9</f>
        <v>0</v>
      </c>
      <c r="BZ9" s="2" cm="1">
        <f t="array" ref="BZ9">INDEX(动作!$O$3:$O$113,BO4)</f>
        <v>0</v>
      </c>
      <c r="CA9" s="2" cm="1">
        <f t="array" ref="CA9">INDEX(动作!$P$3:$P$113,BO4)</f>
        <v>0</v>
      </c>
      <c r="CB9" s="2" cm="1">
        <f t="array" ref="CB9">INDEX(动作!$Q$3:$Q$113,BO4)</f>
        <v>0</v>
      </c>
      <c r="CC9" s="2" cm="1">
        <f t="array" ref="CC9">INDEX(动作!$R$3:$R$113,BO4)</f>
        <v>0</v>
      </c>
      <c r="CD9" s="2" cm="1">
        <f t="array" ref="CD9">INDEX(动作!$S$3:$S$113,BO4)</f>
        <v>0</v>
      </c>
      <c r="CF9" s="2" cm="1">
        <f t="array" ref="CF9">INDEX(增益!$A$2:$Q$40,BO9,MATCH(CF$8,增益!$B$1:$Q$1,0)+1)*$AI9</f>
        <v>0</v>
      </c>
      <c r="CG9" s="2" cm="1">
        <f t="array" ref="CG9">INDEX(增益!$A$2:$Q$40,BO9,MATCH(CG$8,增益!$B$1:$Q$1,0)+1)*$AI9</f>
        <v>0</v>
      </c>
      <c r="CH9" s="2" cm="1">
        <f t="array" ref="CH9">INDEX(增益!$A$2:$Q$40,BO9,MATCH(CH$8,增益!$B$1:$Q$1,0)+1)*$AI9</f>
        <v>0</v>
      </c>
      <c r="CJ9" s="2" cm="1">
        <f t="array" ref="CJ9">INDEX(增益!$A$2:$Q$40,BO9,MATCH(CJ$8,增益!$B$1:$Q$1,0)+1)*$AI9</f>
        <v>0</v>
      </c>
      <c r="CL9" s="2" cm="1">
        <f t="array" ref="CL9">INDEX(增益!$A$2:$Q$40,BO9,MATCH(CL$8,增益!$B$1:$Q$1,0)+1)*$AI9</f>
        <v>0</v>
      </c>
      <c r="CM9" s="2" cm="1">
        <f t="array" ref="CM9">INDEX(增益!$A$2:$Q$40,BO9,MATCH(CM$8,增益!$B$1:$Q$1,0)+1)*$AI9</f>
        <v>0</v>
      </c>
      <c r="CQ9" s="2" t="str" cm="1">
        <f t="array" ref="CQ9">INDEX(云配队!$J14:$AC14,1,CQ$1)</f>
        <v>娜娜莉E暴伤</v>
      </c>
      <c r="CR9" s="2">
        <f>IFERROR(MATCH(CQ9,增益!$A$2:$A$40,FALSE),1)</f>
        <v>4</v>
      </c>
      <c r="CS9" s="2" cm="1">
        <f t="array" ref="CS9">INDEX(增益!$A$2:$Q$40,CR9,MATCH(CS$8,增益!$B$1:$Q$1,0)+1)*$AI9</f>
        <v>0</v>
      </c>
      <c r="CT9" s="2" cm="1">
        <f t="array" ref="CT9">INDEX(增益!$A$2:$Q$40,CR9,MATCH(CT$8,增益!$B$1:$Q$1,0)+1)*$AI9</f>
        <v>0</v>
      </c>
      <c r="CU9" s="2" cm="1">
        <f t="array" ref="CU9">INDEX(增益!$A$2:$Q$40,CR9,MATCH(CU$8,增益!$B$1:$Q$1,0)+1)*$AI9</f>
        <v>0</v>
      </c>
      <c r="CV9" s="2" cm="1">
        <f t="array" ref="CV9">INDEX(增益!$A$2:$Q$40,CR9,MATCH(CV$8,增益!$B$1:$Q$1,0)+1)*$AI9</f>
        <v>0</v>
      </c>
      <c r="CW9" s="2" cm="1">
        <f t="array" ref="CW9">INDEX(增益!$A$2:$Q$40,CR9,MATCH(CW$8,增益!$B$1:$Q$1,0)+1)*$AI9</f>
        <v>0</v>
      </c>
      <c r="CX9" s="2" cm="1">
        <f t="array" ref="CX9">INDEX(增益!$A$2:$Q$40,CR9,MATCH(CX$8,增益!$B$1:$Q$1,0)+1)*$AI9</f>
        <v>0</v>
      </c>
      <c r="CY9" s="2" cm="1">
        <f t="array" ref="CY9">INDEX(增益!$A$2:$Q$40,CR9,MATCH(CY$8,增益!$B$1:$Q$1,0)+1)*$AI9</f>
        <v>0</v>
      </c>
      <c r="CZ9" s="2" cm="1">
        <f t="array" ref="CZ9">INDEX(增益!$A$2:$Q$40,CR9,MATCH(CZ$8,增益!$B$1:$Q$1,0)+1)*$AI9</f>
        <v>0</v>
      </c>
      <c r="DA9" s="2" cm="1">
        <f t="array" ref="DA9">INDEX(增益!$A$2:$Q$40,CR9,MATCH(DA$8,增益!$B$1:$Q$1,0)+1)*$AI9</f>
        <v>0</v>
      </c>
      <c r="DB9" s="2" cm="1">
        <f t="array" ref="DB9">INDEX(增益!$A$2:$Q$40,CR9,MATCH(DB$8,增益!$B$1:$Q$1,0)+1)*$AI9</f>
        <v>0</v>
      </c>
      <c r="DC9" s="2" cm="1">
        <f t="array" ref="DC9">INDEX(动作!$O$3:$O$113,CR4)</f>
        <v>0</v>
      </c>
      <c r="DD9" s="2" cm="1">
        <f t="array" ref="DD9">INDEX(动作!$P$3:$P$113,CR4)</f>
        <v>0</v>
      </c>
      <c r="DE9" s="2" cm="1">
        <f t="array" ref="DE9">INDEX(动作!$Q$3:$Q$113,CR4)</f>
        <v>0</v>
      </c>
      <c r="DF9" s="2" cm="1">
        <f t="array" ref="DF9">INDEX(动作!$R$3:$R$113,CR4)</f>
        <v>0</v>
      </c>
      <c r="DG9" s="2" cm="1">
        <f t="array" ref="DG9">INDEX(动作!$S$3:$S$113,CR4)</f>
        <v>0</v>
      </c>
      <c r="DI9" s="2" cm="1">
        <f t="array" ref="DI9">INDEX(增益!$A$2:$Q$40,CR9,MATCH(DI$8,增益!$B$1:$Q$1,0)+1)*$AI9</f>
        <v>0</v>
      </c>
      <c r="DJ9" s="2" cm="1">
        <f t="array" ref="DJ9">INDEX(增益!$A$2:$Q$40,CR9,MATCH(DJ$8,增益!$B$1:$Q$1,0)+1)*$AI9</f>
        <v>0</v>
      </c>
      <c r="DK9" s="2" cm="1">
        <f t="array" ref="DK9">INDEX(增益!$A$2:$Q$40,CR9,MATCH(DK$8,增益!$B$1:$Q$1,0)+1)*$AI9</f>
        <v>0.3</v>
      </c>
      <c r="DM9" s="2" cm="1">
        <f t="array" ref="DM9">INDEX(增益!$A$2:$Q$40,CR9,MATCH(DM$8,增益!$B$1:$Q$1,0)+1)*$AI9</f>
        <v>0</v>
      </c>
      <c r="DO9" s="2" cm="1">
        <f t="array" ref="DO9">INDEX(增益!$A$2:$Q$40,CR9,MATCH(DO$8,增益!$B$1:$Q$1,0)+1)*$AI9</f>
        <v>0</v>
      </c>
      <c r="DP9" s="2" cm="1">
        <f t="array" ref="DP9">INDEX(增益!$A$2:$Q$40,CR9,MATCH(DP$8,增益!$B$1:$Q$1,0)+1)*$AI9</f>
        <v>0</v>
      </c>
      <c r="DT9" s="2" t="str" cm="1">
        <f t="array" ref="DT9">INDEX(云配队!$J14:$AC14,1,DT$1)</f>
        <v>娜娜莉E暴伤</v>
      </c>
      <c r="DU9" s="2">
        <f>IFERROR(MATCH(DT9,增益!$A$2:$A$40,FALSE),1)</f>
        <v>4</v>
      </c>
      <c r="DV9" s="2" cm="1">
        <f t="array" ref="DV9">INDEX(增益!$A$2:$Q$40,DU9,MATCH(DV$8,增益!$B$1:$Q$1,0)+1)*$AI9</f>
        <v>0</v>
      </c>
      <c r="DW9" s="2" cm="1">
        <f t="array" ref="DW9">INDEX(增益!$A$2:$Q$40,DU9,MATCH(DW$8,增益!$B$1:$Q$1,0)+1)*$AI9</f>
        <v>0</v>
      </c>
      <c r="DX9" s="2" cm="1">
        <f t="array" ref="DX9">INDEX(增益!$A$2:$Q$40,DU9,MATCH(DX$8,增益!$B$1:$Q$1,0)+1)*$AI9</f>
        <v>0</v>
      </c>
      <c r="DY9" s="2" cm="1">
        <f t="array" ref="DY9">INDEX(增益!$A$2:$Q$40,DU9,MATCH(DY$8,增益!$B$1:$Q$1,0)+1)*$AI9</f>
        <v>0</v>
      </c>
      <c r="DZ9" s="2" cm="1">
        <f t="array" ref="DZ9">INDEX(增益!$A$2:$Q$40,DU9,MATCH(DZ$8,增益!$B$1:$Q$1,0)+1)*$AI9</f>
        <v>0</v>
      </c>
      <c r="EA9" s="2" cm="1">
        <f t="array" ref="EA9">INDEX(增益!$A$2:$Q$40,DU9,MATCH(EA$8,增益!$B$1:$Q$1,0)+1)*$AI9</f>
        <v>0</v>
      </c>
      <c r="EB9" s="2" cm="1">
        <f t="array" ref="EB9">INDEX(增益!$A$2:$Q$40,DU9,MATCH(EB$8,增益!$B$1:$Q$1,0)+1)*$AI9</f>
        <v>0</v>
      </c>
      <c r="EC9" s="2" cm="1">
        <f t="array" ref="EC9">INDEX(增益!$A$2:$Q$40,DU9,MATCH(EC$8,增益!$B$1:$Q$1,0)+1)*$AI9</f>
        <v>0</v>
      </c>
      <c r="ED9" s="2" cm="1">
        <f t="array" ref="ED9">INDEX(增益!$A$2:$Q$40,DU9,MATCH(ED$8,增益!$B$1:$Q$1,0)+1)*$AI9</f>
        <v>0</v>
      </c>
      <c r="EE9" s="2" cm="1">
        <f t="array" ref="EE9">INDEX(增益!$A$2:$Q$40,DU9,MATCH(EE$8,增益!$B$1:$Q$1,0)+1)*$AI9</f>
        <v>0</v>
      </c>
      <c r="EF9" s="2" cm="1">
        <f t="array" ref="EF9">INDEX(动作!$O$3:$O$113,DU4)</f>
        <v>0</v>
      </c>
      <c r="EG9" s="2" cm="1">
        <f t="array" ref="EG9">INDEX(动作!$P$3:$P$113,DU4)</f>
        <v>0</v>
      </c>
      <c r="EH9" s="2" cm="1">
        <f t="array" ref="EH9">INDEX(动作!$Q$3:$Q$113,DU4)</f>
        <v>0</v>
      </c>
      <c r="EI9" s="2" cm="1">
        <f t="array" ref="EI9">INDEX(动作!$R$3:$R$113,DU4)</f>
        <v>0</v>
      </c>
      <c r="EJ9" s="2" cm="1">
        <f t="array" ref="EJ9">INDEX(动作!$S$3:$S$113,DU4)</f>
        <v>0</v>
      </c>
      <c r="EL9" s="2" cm="1">
        <f t="array" ref="EL9">INDEX(增益!$A$2:$Q$40,DU9,MATCH(EL$8,增益!$B$1:$Q$1,0)+1)*$AI9</f>
        <v>0</v>
      </c>
      <c r="EM9" s="2" cm="1">
        <f t="array" ref="EM9">INDEX(增益!$A$2:$Q$40,DU9,MATCH(EM$8,增益!$B$1:$Q$1,0)+1)*$AI9</f>
        <v>0</v>
      </c>
      <c r="EN9" s="2" cm="1">
        <f t="array" ref="EN9">INDEX(增益!$A$2:$Q$40,DU9,MATCH(EN$8,增益!$B$1:$Q$1,0)+1)*$AI9</f>
        <v>0.3</v>
      </c>
      <c r="EP9" s="2" cm="1">
        <f t="array" ref="EP9">INDEX(增益!$A$2:$Q$40,DU9,MATCH(EP$8,增益!$B$1:$Q$1,0)+1)*$AI9</f>
        <v>0</v>
      </c>
      <c r="ER9" s="2" cm="1">
        <f t="array" ref="ER9">INDEX(增益!$A$2:$Q$40,DU9,MATCH(ER$8,增益!$B$1:$Q$1,0)+1)*$AI9</f>
        <v>0</v>
      </c>
      <c r="ES9" s="2" cm="1">
        <f t="array" ref="ES9">INDEX(增益!$A$2:$Q$40,DU9,MATCH(ES$8,增益!$B$1:$Q$1,0)+1)*$AI9</f>
        <v>0</v>
      </c>
      <c r="EW9" s="2" t="str" cm="1">
        <f t="array" ref="EW9">INDEX(云配队!$J14:$AC14,1,EW$1)</f>
        <v>娜娜莉E暴伤</v>
      </c>
      <c r="EX9" s="2">
        <f>IFERROR(MATCH(EW9,增益!$A$2:$A$40,FALSE),1)</f>
        <v>4</v>
      </c>
      <c r="EY9" s="2" cm="1">
        <f t="array" ref="EY9">INDEX(增益!$A$2:$Q$40,EX9,MATCH(EY$8,增益!$B$1:$Q$1,0)+1)*$AI9</f>
        <v>0</v>
      </c>
      <c r="EZ9" s="2" cm="1">
        <f t="array" ref="EZ9">INDEX(增益!$A$2:$Q$40,EX9,MATCH(EZ$8,增益!$B$1:$Q$1,0)+1)*$AI9</f>
        <v>0</v>
      </c>
      <c r="FA9" s="2" cm="1">
        <f t="array" ref="FA9">INDEX(增益!$A$2:$Q$40,EX9,MATCH(FA$8,增益!$B$1:$Q$1,0)+1)*$AI9</f>
        <v>0</v>
      </c>
      <c r="FB9" s="2" cm="1">
        <f t="array" ref="FB9">INDEX(增益!$A$2:$Q$40,EX9,MATCH(FB$8,增益!$B$1:$Q$1,0)+1)*$AI9</f>
        <v>0</v>
      </c>
      <c r="FC9" s="2" cm="1">
        <f t="array" ref="FC9">INDEX(增益!$A$2:$Q$40,EX9,MATCH(FC$8,增益!$B$1:$Q$1,0)+1)*$AI9</f>
        <v>0</v>
      </c>
      <c r="FD9" s="2" cm="1">
        <f t="array" ref="FD9">INDEX(增益!$A$2:$Q$40,EX9,MATCH(FD$8,增益!$B$1:$Q$1,0)+1)*$AI9</f>
        <v>0</v>
      </c>
      <c r="FE9" s="2" cm="1">
        <f t="array" ref="FE9">INDEX(增益!$A$2:$Q$40,EX9,MATCH(FE$8,增益!$B$1:$Q$1,0)+1)*$AI9</f>
        <v>0</v>
      </c>
      <c r="FF9" s="2" cm="1">
        <f t="array" ref="FF9">INDEX(增益!$A$2:$Q$40,EX9,MATCH(FF$8,增益!$B$1:$Q$1,0)+1)*$AI9</f>
        <v>0</v>
      </c>
      <c r="FG9" s="2" cm="1">
        <f t="array" ref="FG9">INDEX(增益!$A$2:$Q$40,EX9,MATCH(FG$8,增益!$B$1:$Q$1,0)+1)*$AI9</f>
        <v>0</v>
      </c>
      <c r="FH9" s="2" cm="1">
        <f t="array" ref="FH9">INDEX(增益!$A$2:$Q$40,EX9,MATCH(FH$8,增益!$B$1:$Q$1,0)+1)*$AI9</f>
        <v>0</v>
      </c>
      <c r="FI9" s="2" cm="1">
        <f t="array" ref="FI9">INDEX(动作!$O$3:$O$113,EX4)</f>
        <v>0</v>
      </c>
      <c r="FJ9" s="2" cm="1">
        <f t="array" ref="FJ9">INDEX(动作!$P$3:$P$113,EX4)</f>
        <v>0</v>
      </c>
      <c r="FK9" s="2" cm="1">
        <f t="array" ref="FK9">INDEX(动作!$Q$3:$Q$113,EX4)</f>
        <v>0</v>
      </c>
      <c r="FL9" s="2" cm="1">
        <f t="array" ref="FL9">INDEX(动作!$R$3:$R$113,EX4)</f>
        <v>0</v>
      </c>
      <c r="FM9" s="2" cm="1">
        <f t="array" ref="FM9">INDEX(动作!$S$3:$S$113,EX4)</f>
        <v>0</v>
      </c>
      <c r="FO9" s="2" cm="1">
        <f t="array" ref="FO9">INDEX(增益!$A$2:$Q$40,EX9,MATCH(FO$8,增益!$B$1:$Q$1,0)+1)*$AI9</f>
        <v>0</v>
      </c>
      <c r="FP9" s="2" cm="1">
        <f t="array" ref="FP9">INDEX(增益!$A$2:$Q$40,EX9,MATCH(FP$8,增益!$B$1:$Q$1,0)+1)*$AI9</f>
        <v>0</v>
      </c>
      <c r="FQ9" s="2" cm="1">
        <f t="array" ref="FQ9">INDEX(增益!$A$2:$Q$40,EX9,MATCH(FQ$8,增益!$B$1:$Q$1,0)+1)*$AI9</f>
        <v>0.3</v>
      </c>
      <c r="FS9" s="2" cm="1">
        <f t="array" ref="FS9">INDEX(增益!$A$2:$Q$40,EX9,MATCH(FS$8,增益!$B$1:$Q$1,0)+1)*$AI9</f>
        <v>0</v>
      </c>
      <c r="FU9" s="2" cm="1">
        <f t="array" ref="FU9">INDEX(增益!$A$2:$Q$40,EX9,MATCH(FU$8,增益!$B$1:$Q$1,0)+1)*$AI9</f>
        <v>0</v>
      </c>
      <c r="FV9" s="2" cm="1">
        <f t="array" ref="FV9">INDEX(增益!$A$2:$Q$40,EX9,MATCH(FV$8,增益!$B$1:$Q$1,0)+1)*$AI9</f>
        <v>0</v>
      </c>
      <c r="FZ9" s="2" t="str" cm="1">
        <f t="array" ref="FZ9">INDEX(云配队!$J14:$AC14,1,FZ$1)</f>
        <v>娜娜莉E暴伤</v>
      </c>
      <c r="GA9" s="2">
        <f>IFERROR(MATCH(FZ9,增益!$A$2:$A$40,FALSE),1)</f>
        <v>4</v>
      </c>
      <c r="GB9" s="2" cm="1">
        <f t="array" ref="GB9">INDEX(增益!$A$2:$Q$40,GA9,MATCH(GB$8,增益!$B$1:$Q$1,0)+1)*$AI9</f>
        <v>0</v>
      </c>
      <c r="GC9" s="2" cm="1">
        <f t="array" ref="GC9">INDEX(增益!$A$2:$Q$40,GA9,MATCH(GC$8,增益!$B$1:$Q$1,0)+1)*$AI9</f>
        <v>0</v>
      </c>
      <c r="GD9" s="2" cm="1">
        <f t="array" ref="GD9">INDEX(增益!$A$2:$Q$40,GA9,MATCH(GD$8,增益!$B$1:$Q$1,0)+1)*$AI9</f>
        <v>0</v>
      </c>
      <c r="GE9" s="2" cm="1">
        <f t="array" ref="GE9">INDEX(增益!$A$2:$Q$40,GA9,MATCH(GE$8,增益!$B$1:$Q$1,0)+1)*$AI9</f>
        <v>0</v>
      </c>
      <c r="GF9" s="2" cm="1">
        <f t="array" ref="GF9">INDEX(增益!$A$2:$Q$40,GA9,MATCH(GF$8,增益!$B$1:$Q$1,0)+1)*$AI9</f>
        <v>0</v>
      </c>
      <c r="GG9" s="2" cm="1">
        <f t="array" ref="GG9">INDEX(增益!$A$2:$Q$40,GA9,MATCH(GG$8,增益!$B$1:$Q$1,0)+1)*$AI9</f>
        <v>0</v>
      </c>
      <c r="GH9" s="2" cm="1">
        <f t="array" ref="GH9">INDEX(增益!$A$2:$Q$40,GA9,MATCH(GH$8,增益!$B$1:$Q$1,0)+1)*$AI9</f>
        <v>0</v>
      </c>
      <c r="GI9" s="2" cm="1">
        <f t="array" ref="GI9">INDEX(增益!$A$2:$Q$40,GA9,MATCH(GI$8,增益!$B$1:$Q$1,0)+1)*$AI9</f>
        <v>0</v>
      </c>
      <c r="GJ9" s="2" cm="1">
        <f t="array" ref="GJ9">INDEX(增益!$A$2:$Q$40,GA9,MATCH(GJ$8,增益!$B$1:$Q$1,0)+1)*$AI9</f>
        <v>0</v>
      </c>
      <c r="GK9" s="2" cm="1">
        <f t="array" ref="GK9">INDEX(增益!$A$2:$Q$40,GA9,MATCH(GK$8,增益!$B$1:$Q$1,0)+1)*$AI9</f>
        <v>0</v>
      </c>
      <c r="GL9" s="2" cm="1">
        <f t="array" ref="GL9">INDEX(动作!$O$3:$O$113,GA4)</f>
        <v>0</v>
      </c>
      <c r="GM9" s="2" cm="1">
        <f t="array" ref="GM9">INDEX(动作!$P$3:$P$113,GA4)</f>
        <v>0</v>
      </c>
      <c r="GN9" s="2" cm="1">
        <f t="array" ref="GN9">INDEX(动作!$Q$3:$Q$113,GA4)</f>
        <v>0</v>
      </c>
      <c r="GO9" s="2" cm="1">
        <f t="array" ref="GO9">INDEX(动作!$R$3:$R$113,GA4)</f>
        <v>0</v>
      </c>
      <c r="GP9" s="2" cm="1">
        <f t="array" ref="GP9">INDEX(动作!$S$3:$S$113,GA4)</f>
        <v>0</v>
      </c>
      <c r="GR9" s="2" cm="1">
        <f t="array" ref="GR9">INDEX(增益!$A$2:$Q$40,GA9,MATCH(GR$8,增益!$B$1:$Q$1,0)+1)*$AI9</f>
        <v>0</v>
      </c>
      <c r="GS9" s="2" cm="1">
        <f t="array" ref="GS9">INDEX(增益!$A$2:$Q$40,GA9,MATCH(GS$8,增益!$B$1:$Q$1,0)+1)*$AI9</f>
        <v>0</v>
      </c>
      <c r="GT9" s="2" cm="1">
        <f t="array" ref="GT9">INDEX(增益!$A$2:$Q$40,GA9,MATCH(GT$8,增益!$B$1:$Q$1,0)+1)*$AI9</f>
        <v>0.3</v>
      </c>
      <c r="GV9" s="2" cm="1">
        <f t="array" ref="GV9">INDEX(增益!$A$2:$Q$40,GA9,MATCH(GV$8,增益!$B$1:$Q$1,0)+1)*$AI9</f>
        <v>0</v>
      </c>
      <c r="GX9" s="2" cm="1">
        <f t="array" ref="GX9">INDEX(增益!$A$2:$Q$40,GA9,MATCH(GX$8,增益!$B$1:$Q$1,0)+1)*$AI9</f>
        <v>0</v>
      </c>
      <c r="GY9" s="2" cm="1">
        <f t="array" ref="GY9">INDEX(增益!$A$2:$Q$40,GA9,MATCH(GY$8,增益!$B$1:$Q$1,0)+1)*$AI9</f>
        <v>0</v>
      </c>
      <c r="HC9" s="2" t="str" cm="1">
        <f t="array" ref="HC9">INDEX(云配队!$J14:$AC14,1,HC$1)</f>
        <v>娜娜莉E暴伤</v>
      </c>
      <c r="HD9" s="2">
        <f>IFERROR(MATCH(HC9,增益!$A$2:$A$40,FALSE),1)</f>
        <v>4</v>
      </c>
      <c r="HE9" s="2" cm="1">
        <f t="array" ref="HE9">INDEX(增益!$A$2:$Q$40,HD9,MATCH(HE$8,增益!$B$1:$Q$1,0)+1)*$AI9</f>
        <v>0</v>
      </c>
      <c r="HF9" s="2" cm="1">
        <f t="array" ref="HF9">INDEX(增益!$A$2:$Q$40,HD9,MATCH(HF$8,增益!$B$1:$Q$1,0)+1)*$AI9</f>
        <v>0</v>
      </c>
      <c r="HG9" s="2" cm="1">
        <f t="array" ref="HG9">INDEX(增益!$A$2:$Q$40,HD9,MATCH(HG$8,增益!$B$1:$Q$1,0)+1)*$AI9</f>
        <v>0</v>
      </c>
      <c r="HH9" s="2" cm="1">
        <f t="array" ref="HH9">INDEX(增益!$A$2:$Q$40,HD9,MATCH(HH$8,增益!$B$1:$Q$1,0)+1)*$AI9</f>
        <v>0</v>
      </c>
      <c r="HI9" s="2" cm="1">
        <f t="array" ref="HI9">INDEX(增益!$A$2:$Q$40,HD9,MATCH(HI$8,增益!$B$1:$Q$1,0)+1)*$AI9</f>
        <v>0</v>
      </c>
      <c r="HJ9" s="2" cm="1">
        <f t="array" ref="HJ9">INDEX(增益!$A$2:$Q$40,HD9,MATCH(HJ$8,增益!$B$1:$Q$1,0)+1)*$AI9</f>
        <v>0</v>
      </c>
      <c r="HK9" s="2" cm="1">
        <f t="array" ref="HK9">INDEX(增益!$A$2:$Q$40,HD9,MATCH(HK$8,增益!$B$1:$Q$1,0)+1)*$AI9</f>
        <v>0</v>
      </c>
      <c r="HL9" s="2" cm="1">
        <f t="array" ref="HL9">INDEX(增益!$A$2:$Q$40,HD9,MATCH(HL$8,增益!$B$1:$Q$1,0)+1)*$AI9</f>
        <v>0</v>
      </c>
      <c r="HM9" s="2" cm="1">
        <f t="array" ref="HM9">INDEX(增益!$A$2:$Q$40,HD9,MATCH(HM$8,增益!$B$1:$Q$1,0)+1)*$AI9</f>
        <v>0</v>
      </c>
      <c r="HN9" s="2" cm="1">
        <f t="array" ref="HN9">INDEX(增益!$A$2:$Q$40,HD9,MATCH(HN$8,增益!$B$1:$Q$1,0)+1)*$AI9</f>
        <v>0</v>
      </c>
      <c r="HO9" s="2" cm="1">
        <f t="array" ref="HO9">INDEX(动作!$O$3:$O$113,HD4)</f>
        <v>0</v>
      </c>
      <c r="HP9" s="2" cm="1">
        <f t="array" ref="HP9">INDEX(动作!$P$3:$P$113,HD4)</f>
        <v>0</v>
      </c>
      <c r="HQ9" s="2" cm="1">
        <f t="array" ref="HQ9">INDEX(动作!$Q$3:$Q$113,HD4)</f>
        <v>0</v>
      </c>
      <c r="HR9" s="2" cm="1">
        <f t="array" ref="HR9">INDEX(动作!$R$3:$R$113,HD4)</f>
        <v>0</v>
      </c>
      <c r="HS9" s="2" cm="1">
        <f t="array" ref="HS9">INDEX(动作!$S$3:$S$113,HD4)</f>
        <v>0</v>
      </c>
      <c r="HU9" s="2" cm="1">
        <f t="array" ref="HU9">INDEX(增益!$A$2:$Q$40,HD9,MATCH(HU$8,增益!$B$1:$Q$1,0)+1)*$AI9</f>
        <v>0</v>
      </c>
      <c r="HV9" s="2" cm="1">
        <f t="array" ref="HV9">INDEX(增益!$A$2:$Q$40,HD9,MATCH(HV$8,增益!$B$1:$Q$1,0)+1)*$AI9</f>
        <v>0</v>
      </c>
      <c r="HW9" s="2" cm="1">
        <f t="array" ref="HW9">INDEX(增益!$A$2:$Q$40,HD9,MATCH(HW$8,增益!$B$1:$Q$1,0)+1)*$AI9</f>
        <v>0.3</v>
      </c>
      <c r="HY9" s="2" cm="1">
        <f t="array" ref="HY9">INDEX(增益!$A$2:$Q$40,HD9,MATCH(HY$8,增益!$B$1:$Q$1,0)+1)*$AI9</f>
        <v>0</v>
      </c>
      <c r="IA9" s="2" cm="1">
        <f t="array" ref="IA9">INDEX(增益!$A$2:$Q$40,HD9,MATCH(IA$8,增益!$B$1:$Q$1,0)+1)*$AI9</f>
        <v>0</v>
      </c>
      <c r="IB9" s="2" cm="1">
        <f t="array" ref="IB9">INDEX(增益!$A$2:$Q$40,HD9,MATCH(IB$8,增益!$B$1:$Q$1,0)+1)*$AI9</f>
        <v>0</v>
      </c>
      <c r="IF9" s="2" t="str" cm="1">
        <f t="array" ref="IF9">INDEX(云配队!$J14:$AC14,1,IF$1)</f>
        <v>娜娜莉E暴伤</v>
      </c>
      <c r="IG9" s="2">
        <f>IFERROR(MATCH(IF9,增益!$A$2:$A$40,FALSE),1)</f>
        <v>4</v>
      </c>
      <c r="IH9" s="2" cm="1">
        <f t="array" ref="IH9">INDEX(增益!$A$2:$Q$40,IG9,MATCH(IH$8,增益!$B$1:$Q$1,0)+1)*$AI9</f>
        <v>0</v>
      </c>
      <c r="II9" s="2" cm="1">
        <f t="array" ref="II9">INDEX(增益!$A$2:$Q$40,IG9,MATCH(II$8,增益!$B$1:$Q$1,0)+1)*$AI9</f>
        <v>0</v>
      </c>
      <c r="IJ9" s="2" cm="1">
        <f t="array" ref="IJ9">INDEX(增益!$A$2:$Q$40,IG9,MATCH(IJ$8,增益!$B$1:$Q$1,0)+1)*$AI9</f>
        <v>0</v>
      </c>
      <c r="IK9" s="2" cm="1">
        <f t="array" ref="IK9">INDEX(增益!$A$2:$Q$40,IG9,MATCH(IK$8,增益!$B$1:$Q$1,0)+1)*$AI9</f>
        <v>0</v>
      </c>
      <c r="IL9" s="2" cm="1">
        <f t="array" ref="IL9">INDEX(增益!$A$2:$Q$40,IG9,MATCH(IL$8,增益!$B$1:$Q$1,0)+1)*$AI9</f>
        <v>0</v>
      </c>
      <c r="IM9" s="2" cm="1">
        <f t="array" ref="IM9">INDEX(增益!$A$2:$Q$40,IG9,MATCH(IM$8,增益!$B$1:$Q$1,0)+1)*$AI9</f>
        <v>0</v>
      </c>
      <c r="IN9" s="2" cm="1">
        <f t="array" ref="IN9">INDEX(增益!$A$2:$Q$40,IG9,MATCH(IN$8,增益!$B$1:$Q$1,0)+1)*$AI9</f>
        <v>0</v>
      </c>
      <c r="IO9" s="2" cm="1">
        <f t="array" ref="IO9">INDEX(增益!$A$2:$Q$40,IG9,MATCH(IO$8,增益!$B$1:$Q$1,0)+1)*$AI9</f>
        <v>0</v>
      </c>
      <c r="IP9" s="2" cm="1">
        <f t="array" ref="IP9">INDEX(增益!$A$2:$Q$40,IG9,MATCH(IP$8,增益!$B$1:$Q$1,0)+1)*$AI9</f>
        <v>0</v>
      </c>
      <c r="IQ9" s="2" cm="1">
        <f t="array" ref="IQ9">INDEX(增益!$A$2:$Q$40,IG9,MATCH(IQ$8,增益!$B$1:$Q$1,0)+1)*$AI9</f>
        <v>0</v>
      </c>
      <c r="IR9" s="2" cm="1">
        <f t="array" ref="IR9">INDEX(动作!$O$3:$O$113,IG4)</f>
        <v>0</v>
      </c>
      <c r="IS9" s="2" cm="1">
        <f t="array" ref="IS9">INDEX(动作!$P$3:$P$113,IG4)</f>
        <v>0</v>
      </c>
      <c r="IT9" s="2" cm="1">
        <f t="array" ref="IT9">INDEX(动作!$Q$3:$Q$113,IG4)</f>
        <v>0</v>
      </c>
      <c r="IU9" s="2" cm="1">
        <f t="array" ref="IU9">INDEX(动作!$R$3:$R$113,IG4)</f>
        <v>0</v>
      </c>
      <c r="IV9" s="2" cm="1">
        <f t="array" ref="IV9">INDEX(动作!$S$3:$S$113,IG4)</f>
        <v>0</v>
      </c>
      <c r="IX9" s="2" cm="1">
        <f t="array" ref="IX9">INDEX(增益!$A$2:$Q$40,IG9,MATCH(IX$8,增益!$B$1:$Q$1,0)+1)*$AI9</f>
        <v>0</v>
      </c>
      <c r="IY9" s="2" cm="1">
        <f t="array" ref="IY9">INDEX(增益!$A$2:$Q$40,IG9,MATCH(IY$8,增益!$B$1:$Q$1,0)+1)*$AI9</f>
        <v>0</v>
      </c>
      <c r="IZ9" s="2" cm="1">
        <f t="array" ref="IZ9">INDEX(增益!$A$2:$Q$40,IG9,MATCH(IZ$8,增益!$B$1:$Q$1,0)+1)*$AI9</f>
        <v>0.3</v>
      </c>
      <c r="JB9" s="2" cm="1">
        <f t="array" ref="JB9">INDEX(增益!$A$2:$Q$40,IG9,MATCH(JB$8,增益!$B$1:$Q$1,0)+1)*$AI9</f>
        <v>0</v>
      </c>
      <c r="JD9" s="2" cm="1">
        <f t="array" ref="JD9">INDEX(增益!$A$2:$Q$40,IG9,MATCH(JD$8,增益!$B$1:$Q$1,0)+1)*$AI9</f>
        <v>0</v>
      </c>
      <c r="JE9" s="2" cm="1">
        <f t="array" ref="JE9">INDEX(增益!$A$2:$Q$40,IG9,MATCH(JE$8,增益!$B$1:$Q$1,0)+1)*$AI9</f>
        <v>0</v>
      </c>
      <c r="JI9" s="2" cm="1">
        <f t="array" ref="JI9">INDEX(云配队!$J14:$AC14,1,JI$1)</f>
        <v>0</v>
      </c>
      <c r="JJ9" s="2">
        <f>IFERROR(MATCH(JI9,增益!$A$2:$A$40,FALSE),1)</f>
        <v>1</v>
      </c>
      <c r="JK9" s="2" cm="1">
        <f t="array" ref="JK9">INDEX(增益!$A$2:$Q$40,JJ9,MATCH(JK$8,增益!$B$1:$Q$1,0)+1)*$AI9</f>
        <v>0</v>
      </c>
      <c r="JL9" s="2" cm="1">
        <f t="array" ref="JL9">INDEX(增益!$A$2:$Q$40,JJ9,MATCH(JL$8,增益!$B$1:$Q$1,0)+1)*$AI9</f>
        <v>0</v>
      </c>
      <c r="JM9" s="2" cm="1">
        <f t="array" ref="JM9">INDEX(增益!$A$2:$Q$40,JJ9,MATCH(JM$8,增益!$B$1:$Q$1,0)+1)*$AI9</f>
        <v>0</v>
      </c>
      <c r="JN9" s="2" cm="1">
        <f t="array" ref="JN9">INDEX(增益!$A$2:$Q$40,JJ9,MATCH(JN$8,增益!$B$1:$Q$1,0)+1)*$AI9</f>
        <v>0</v>
      </c>
      <c r="JO9" s="2" cm="1">
        <f t="array" ref="JO9">INDEX(增益!$A$2:$Q$40,JJ9,MATCH(JO$8,增益!$B$1:$Q$1,0)+1)*$AI9</f>
        <v>0</v>
      </c>
      <c r="JP9" s="2" cm="1">
        <f t="array" ref="JP9">INDEX(增益!$A$2:$Q$40,JJ9,MATCH(JP$8,增益!$B$1:$Q$1,0)+1)*$AI9</f>
        <v>0</v>
      </c>
      <c r="JQ9" s="2" cm="1">
        <f t="array" ref="JQ9">INDEX(增益!$A$2:$Q$40,JJ9,MATCH(JQ$8,增益!$B$1:$Q$1,0)+1)*$AI9</f>
        <v>0</v>
      </c>
      <c r="JR9" s="2" cm="1">
        <f t="array" ref="JR9">INDEX(增益!$A$2:$Q$40,JJ9,MATCH(JR$8,增益!$B$1:$Q$1,0)+1)*$AI9</f>
        <v>0</v>
      </c>
      <c r="JS9" s="2" cm="1">
        <f t="array" ref="JS9">INDEX(增益!$A$2:$Q$40,JJ9,MATCH(JS$8,增益!$B$1:$Q$1,0)+1)*$AI9</f>
        <v>0</v>
      </c>
      <c r="JT9" s="2" cm="1">
        <f t="array" ref="JT9">INDEX(增益!$A$2:$Q$40,JJ9,MATCH(JT$8,增益!$B$1:$Q$1,0)+1)*$AI9</f>
        <v>0</v>
      </c>
      <c r="JU9" s="2" cm="1">
        <f t="array" ref="JU9">INDEX(动作!$O$3:$O$113,JJ4)</f>
        <v>0</v>
      </c>
      <c r="JV9" s="2" cm="1">
        <f t="array" ref="JV9">INDEX(动作!$P$3:$P$113,JJ4)</f>
        <v>0</v>
      </c>
      <c r="JW9" s="2" cm="1">
        <f t="array" ref="JW9">INDEX(动作!$Q$3:$Q$113,JJ4)</f>
        <v>0</v>
      </c>
      <c r="JX9" s="2" cm="1">
        <f t="array" ref="JX9">INDEX(动作!$R$3:$R$113,JJ4)</f>
        <v>0</v>
      </c>
      <c r="JY9" s="2" cm="1">
        <f t="array" ref="JY9">INDEX(动作!$S$3:$S$113,JJ4)</f>
        <v>0</v>
      </c>
      <c r="KA9" s="2" cm="1">
        <f t="array" ref="KA9">INDEX(增益!$A$2:$Q$40,JJ9,MATCH(KA$8,增益!$B$1:$Q$1,0)+1)*$AI9</f>
        <v>0</v>
      </c>
      <c r="KB9" s="2" cm="1">
        <f t="array" ref="KB9">INDEX(增益!$A$2:$Q$40,JJ9,MATCH(KB$8,增益!$B$1:$Q$1,0)+1)*$AI9</f>
        <v>0</v>
      </c>
      <c r="KC9" s="2" cm="1">
        <f t="array" ref="KC9">INDEX(增益!$A$2:$Q$40,JJ9,MATCH(KC$8,增益!$B$1:$Q$1,0)+1)*$AI9</f>
        <v>0</v>
      </c>
      <c r="KE9" s="2" cm="1">
        <f t="array" ref="KE9">INDEX(增益!$A$2:$Q$40,JJ9,MATCH(KE$8,增益!$B$1:$Q$1,0)+1)*$AI9</f>
        <v>0</v>
      </c>
      <c r="KG9" s="2" cm="1">
        <f t="array" ref="KG9">INDEX(增益!$A$2:$Q$40,JJ9,MATCH(KG$8,增益!$B$1:$Q$1,0)+1)*$AI9</f>
        <v>0</v>
      </c>
      <c r="KH9" s="2" cm="1">
        <f t="array" ref="KH9">INDEX(增益!$A$2:$Q$40,JJ9,MATCH(KH$8,增益!$B$1:$Q$1,0)+1)*$AI9</f>
        <v>0</v>
      </c>
      <c r="KL9" s="2" t="str" cm="1">
        <f t="array" ref="KL9">INDEX(云配队!$J14:$AC14,1,KL$1)</f>
        <v>阿德勒6命Q后E</v>
      </c>
      <c r="KM9" s="2">
        <f>IFERROR(MATCH(KL9,增益!$A$2:$A$40,FALSE),1)</f>
        <v>8</v>
      </c>
      <c r="KN9" s="2" cm="1">
        <f t="array" ref="KN9">INDEX(增益!$A$2:$Q$40,KM9,MATCH(KN$8,增益!$B$1:$Q$1,0)+1)*$AI9</f>
        <v>0</v>
      </c>
      <c r="KO9" s="2" cm="1">
        <f t="array" ref="KO9">INDEX(增益!$A$2:$Q$40,KM9,MATCH(KO$8,增益!$B$1:$Q$1,0)+1)*$AI9</f>
        <v>0</v>
      </c>
      <c r="KP9" s="2" cm="1">
        <f t="array" ref="KP9">INDEX(增益!$A$2:$Q$40,KM9,MATCH(KP$8,增益!$B$1:$Q$1,0)+1)*$AI9</f>
        <v>0</v>
      </c>
      <c r="KQ9" s="2" cm="1">
        <f t="array" ref="KQ9">INDEX(增益!$A$2:$Q$40,KM9,MATCH(KQ$8,增益!$B$1:$Q$1,0)+1)*$AI9</f>
        <v>0</v>
      </c>
      <c r="KR9" s="2" cm="1">
        <f t="array" ref="KR9">INDEX(增益!$A$2:$Q$40,KM9,MATCH(KR$8,增益!$B$1:$Q$1,0)+1)*$AI9</f>
        <v>0</v>
      </c>
      <c r="KS9" s="2" cm="1">
        <f t="array" ref="KS9">INDEX(增益!$A$2:$Q$40,KM9,MATCH(KS$8,增益!$B$1:$Q$1,0)+1)*$AI9</f>
        <v>0</v>
      </c>
      <c r="KT9" s="2" cm="1">
        <f t="array" ref="KT9">INDEX(增益!$A$2:$Q$40,KM9,MATCH(KT$8,增益!$B$1:$Q$1,0)+1)*$AI9</f>
        <v>0</v>
      </c>
      <c r="KU9" s="2" cm="1">
        <f t="array" ref="KU9">INDEX(增益!$A$2:$Q$40,KM9,MATCH(KU$8,增益!$B$1:$Q$1,0)+1)*$AI9</f>
        <v>0</v>
      </c>
      <c r="KV9" s="2" cm="1">
        <f t="array" ref="KV9">INDEX(增益!$A$2:$Q$40,KM9,MATCH(KV$8,增益!$B$1:$Q$1,0)+1)*$AI9</f>
        <v>0</v>
      </c>
      <c r="KW9" s="2" cm="1">
        <f t="array" ref="KW9">INDEX(增益!$A$2:$Q$40,KM9,MATCH(KW$8,增益!$B$1:$Q$1,0)+1)*$AI9</f>
        <v>0</v>
      </c>
      <c r="KX9" s="2" cm="1">
        <f t="array" ref="KX9">INDEX(动作!$O$3:$O$113,KM4)</f>
        <v>0</v>
      </c>
      <c r="KY9" s="2" cm="1">
        <f t="array" ref="KY9">INDEX(动作!$P$3:$P$113,KM4)</f>
        <v>0</v>
      </c>
      <c r="KZ9" s="2" cm="1">
        <f t="array" ref="KZ9">INDEX(动作!$Q$3:$Q$113,KM4)</f>
        <v>0</v>
      </c>
      <c r="LA9" s="2" cm="1">
        <f t="array" ref="LA9">INDEX(动作!$R$3:$R$113,KM4)</f>
        <v>0</v>
      </c>
      <c r="LB9" s="2" cm="1">
        <f t="array" ref="LB9">INDEX(动作!$S$3:$S$113,KM4)</f>
        <v>0</v>
      </c>
      <c r="LD9" s="2" cm="1">
        <f t="array" ref="LD9">INDEX(增益!$A$2:$Q$40,KM9,MATCH(LD$8,增益!$B$1:$Q$1,0)+1)*$AI9</f>
        <v>0.7</v>
      </c>
      <c r="LE9" s="2" cm="1">
        <f t="array" ref="LE9">INDEX(增益!$A$2:$Q$40,KM9,MATCH(LE$8,增益!$B$1:$Q$1,0)+1)*$AI9</f>
        <v>0</v>
      </c>
      <c r="LF9" s="2" cm="1">
        <f t="array" ref="LF9">INDEX(增益!$A$2:$Q$40,KM9,MATCH(LF$8,增益!$B$1:$Q$1,0)+1)*$AI9</f>
        <v>0</v>
      </c>
      <c r="LH9" s="2" cm="1">
        <f t="array" ref="LH9">INDEX(增益!$A$2:$Q$40,KM9,MATCH(LH$8,增益!$B$1:$Q$1,0)+1)*$AI9</f>
        <v>0</v>
      </c>
      <c r="LJ9" s="2" cm="1">
        <f t="array" ref="LJ9">INDEX(增益!$A$2:$Q$40,KM9,MATCH(LJ$8,增益!$B$1:$Q$1,0)+1)*$AI9</f>
        <v>0</v>
      </c>
      <c r="LK9" s="2" cm="1">
        <f t="array" ref="LK9">INDEX(增益!$A$2:$Q$40,KM9,MATCH(LK$8,增益!$B$1:$Q$1,0)+1)*$AI9</f>
        <v>0</v>
      </c>
      <c r="LO9" s="2" cm="1">
        <f t="array" ref="LO9">INDEX(云配队!$J14:$AC14,1,LO$1)</f>
        <v>0</v>
      </c>
      <c r="LP9" s="2">
        <f>IFERROR(MATCH(LO9,增益!$A$2:$A$40,FALSE),1)</f>
        <v>1</v>
      </c>
      <c r="LQ9" s="2" cm="1">
        <f t="array" ref="LQ9">INDEX(增益!$A$2:$Q$40,LP9,MATCH(LQ$8,增益!$B$1:$Q$1,0)+1)*$AI9</f>
        <v>0</v>
      </c>
      <c r="LR9" s="2" cm="1">
        <f t="array" ref="LR9">INDEX(增益!$A$2:$Q$40,LP9,MATCH(LR$8,增益!$B$1:$Q$1,0)+1)*$AI9</f>
        <v>0</v>
      </c>
      <c r="LS9" s="2" cm="1">
        <f t="array" ref="LS9">INDEX(增益!$A$2:$Q$40,LP9,MATCH(LS$8,增益!$B$1:$Q$1,0)+1)*$AI9</f>
        <v>0</v>
      </c>
      <c r="LT9" s="2" cm="1">
        <f t="array" ref="LT9">INDEX(增益!$A$2:$Q$40,LP9,MATCH(LT$8,增益!$B$1:$Q$1,0)+1)*$AI9</f>
        <v>0</v>
      </c>
      <c r="LU9" s="2" cm="1">
        <f t="array" ref="LU9">INDEX(增益!$A$2:$Q$40,LP9,MATCH(LU$8,增益!$B$1:$Q$1,0)+1)*$AI9</f>
        <v>0</v>
      </c>
      <c r="LV9" s="2" cm="1">
        <f t="array" ref="LV9">INDEX(增益!$A$2:$Q$40,LP9,MATCH(LV$8,增益!$B$1:$Q$1,0)+1)*$AI9</f>
        <v>0</v>
      </c>
      <c r="LW9" s="2" cm="1">
        <f t="array" ref="LW9">INDEX(增益!$A$2:$Q$40,LP9,MATCH(LW$8,增益!$B$1:$Q$1,0)+1)*$AI9</f>
        <v>0</v>
      </c>
      <c r="LX9" s="2" cm="1">
        <f t="array" ref="LX9">INDEX(增益!$A$2:$Q$40,LP9,MATCH(LX$8,增益!$B$1:$Q$1,0)+1)*$AI9</f>
        <v>0</v>
      </c>
      <c r="LY9" s="2" cm="1">
        <f t="array" ref="LY9">INDEX(增益!$A$2:$Q$40,LP9,MATCH(LY$8,增益!$B$1:$Q$1,0)+1)*$AI9</f>
        <v>0</v>
      </c>
      <c r="LZ9" s="2" cm="1">
        <f t="array" ref="LZ9">INDEX(增益!$A$2:$Q$40,LP9,MATCH(LZ$8,增益!$B$1:$Q$1,0)+1)*$AI9</f>
        <v>0</v>
      </c>
      <c r="MA9" s="2" cm="1">
        <f t="array" ref="MA9">INDEX(动作!$O$3:$O$113,LP4)</f>
        <v>0</v>
      </c>
      <c r="MB9" s="2" cm="1">
        <f t="array" ref="MB9">INDEX(动作!$P$3:$P$113,LP4)</f>
        <v>0</v>
      </c>
      <c r="MC9" s="2" cm="1">
        <f t="array" ref="MC9">INDEX(动作!$Q$3:$Q$113,LP4)</f>
        <v>0</v>
      </c>
      <c r="MD9" s="2" cm="1">
        <f t="array" ref="MD9">INDEX(动作!$R$3:$R$113,LP4)</f>
        <v>0</v>
      </c>
      <c r="ME9" s="2" cm="1">
        <f t="array" ref="ME9">INDEX(动作!$S$3:$S$113,LP4)</f>
        <v>0</v>
      </c>
      <c r="MG9" s="2" cm="1">
        <f t="array" ref="MG9">INDEX(增益!$A$2:$Q$40,LP9,MATCH(MG$8,增益!$B$1:$Q$1,0)+1)*$AI9</f>
        <v>0</v>
      </c>
      <c r="MH9" s="2" cm="1">
        <f t="array" ref="MH9">INDEX(增益!$A$2:$Q$40,LP9,MATCH(MH$8,增益!$B$1:$Q$1,0)+1)*$AI9</f>
        <v>0</v>
      </c>
      <c r="MI9" s="2" cm="1">
        <f t="array" ref="MI9">INDEX(增益!$A$2:$Q$40,LP9,MATCH(MI$8,增益!$B$1:$Q$1,0)+1)*$AI9</f>
        <v>0</v>
      </c>
      <c r="MK9" s="2" cm="1">
        <f t="array" ref="MK9">INDEX(增益!$A$2:$Q$40,LP9,MATCH(MK$8,增益!$B$1:$Q$1,0)+1)*$AI9</f>
        <v>0</v>
      </c>
      <c r="MM9" s="2" cm="1">
        <f t="array" ref="MM9">INDEX(增益!$A$2:$Q$40,LP9,MATCH(MM$8,增益!$B$1:$Q$1,0)+1)*$AI9</f>
        <v>0</v>
      </c>
      <c r="MN9" s="2" cm="1">
        <f t="array" ref="MN9">INDEX(增益!$A$2:$Q$40,LP9,MATCH(MN$8,增益!$B$1:$Q$1,0)+1)*$AI9</f>
        <v>0</v>
      </c>
      <c r="MR9" s="2" cm="1">
        <f t="array" ref="MR9">INDEX(云配队!$J14:$AC14,1,MR$1)</f>
        <v>0</v>
      </c>
      <c r="MS9" s="2">
        <f>IFERROR(MATCH(MR9,增益!$A$2:$A$40,FALSE),1)</f>
        <v>1</v>
      </c>
      <c r="MT9" s="2" cm="1">
        <f t="array" ref="MT9">INDEX(增益!$A$2:$Q$40,MS9,MATCH(MT$8,增益!$B$1:$Q$1,0)+1)*$AI9</f>
        <v>0</v>
      </c>
      <c r="MU9" s="2" cm="1">
        <f t="array" ref="MU9">INDEX(增益!$A$2:$Q$40,MS9,MATCH(MU$8,增益!$B$1:$Q$1,0)+1)*$AI9</f>
        <v>0</v>
      </c>
      <c r="MV9" s="2" cm="1">
        <f t="array" ref="MV9">INDEX(增益!$A$2:$Q$40,MS9,MATCH(MV$8,增益!$B$1:$Q$1,0)+1)*$AI9</f>
        <v>0</v>
      </c>
      <c r="MW9" s="2" cm="1">
        <f t="array" ref="MW9">INDEX(增益!$A$2:$Q$40,MS9,MATCH(MW$8,增益!$B$1:$Q$1,0)+1)*$AI9</f>
        <v>0</v>
      </c>
      <c r="MX9" s="2" cm="1">
        <f t="array" ref="MX9">INDEX(增益!$A$2:$Q$40,MS9,MATCH(MX$8,增益!$B$1:$Q$1,0)+1)*$AI9</f>
        <v>0</v>
      </c>
      <c r="MY9" s="2" cm="1">
        <f t="array" ref="MY9">INDEX(增益!$A$2:$Q$40,MS9,MATCH(MY$8,增益!$B$1:$Q$1,0)+1)*$AI9</f>
        <v>0</v>
      </c>
      <c r="MZ9" s="2" cm="1">
        <f t="array" ref="MZ9">INDEX(增益!$A$2:$Q$40,MS9,MATCH(MZ$8,增益!$B$1:$Q$1,0)+1)*$AI9</f>
        <v>0</v>
      </c>
      <c r="NA9" s="2" cm="1">
        <f t="array" ref="NA9">INDEX(增益!$A$2:$Q$40,MS9,MATCH(NA$8,增益!$B$1:$Q$1,0)+1)*$AI9</f>
        <v>0</v>
      </c>
      <c r="NB9" s="2" cm="1">
        <f t="array" ref="NB9">INDEX(增益!$A$2:$Q$40,MS9,MATCH(NB$8,增益!$B$1:$Q$1,0)+1)*$AI9</f>
        <v>0</v>
      </c>
      <c r="NC9" s="2" cm="1">
        <f t="array" ref="NC9">INDEX(增益!$A$2:$Q$40,MS9,MATCH(NC$8,增益!$B$1:$Q$1,0)+1)*$AI9</f>
        <v>0</v>
      </c>
      <c r="ND9" s="2" cm="1">
        <f t="array" ref="ND9">INDEX(动作!$O$3:$O$113,MS4)</f>
        <v>0</v>
      </c>
      <c r="NE9" s="2" cm="1">
        <f t="array" ref="NE9">INDEX(动作!$P$3:$P$113,MS4)</f>
        <v>0</v>
      </c>
      <c r="NF9" s="2" cm="1">
        <f t="array" ref="NF9">INDEX(动作!$Q$3:$Q$113,MS4)</f>
        <v>0</v>
      </c>
      <c r="NG9" s="2" cm="1">
        <f t="array" ref="NG9">INDEX(动作!$R$3:$R$113,MS4)</f>
        <v>0</v>
      </c>
      <c r="NH9" s="2" cm="1">
        <f t="array" ref="NH9">INDEX(动作!$S$3:$S$113,MS4)</f>
        <v>0</v>
      </c>
      <c r="NJ9" s="2" cm="1">
        <f t="array" ref="NJ9">INDEX(增益!$A$2:$Q$40,MS9,MATCH(NJ$8,增益!$B$1:$Q$1,0)+1)*$AI9</f>
        <v>0</v>
      </c>
      <c r="NK9" s="2" cm="1">
        <f t="array" ref="NK9">INDEX(增益!$A$2:$Q$40,MS9,MATCH(NK$8,增益!$B$1:$Q$1,0)+1)*$AI9</f>
        <v>0</v>
      </c>
      <c r="NL9" s="2" cm="1">
        <f t="array" ref="NL9">INDEX(增益!$A$2:$Q$40,MS9,MATCH(NL$8,增益!$B$1:$Q$1,0)+1)*$AI9</f>
        <v>0</v>
      </c>
      <c r="NN9" s="2" cm="1">
        <f t="array" ref="NN9">INDEX(增益!$A$2:$Q$40,MS9,MATCH(NN$8,增益!$B$1:$Q$1,0)+1)*$AI9</f>
        <v>0</v>
      </c>
      <c r="NP9" s="2" cm="1">
        <f t="array" ref="NP9">INDEX(增益!$A$2:$Q$40,MS9,MATCH(NP$8,增益!$B$1:$Q$1,0)+1)*$AI9</f>
        <v>0</v>
      </c>
      <c r="NQ9" s="2" cm="1">
        <f t="array" ref="NQ9">INDEX(增益!$A$2:$Q$40,MS9,MATCH(NQ$8,增益!$B$1:$Q$1,0)+1)*$AI9</f>
        <v>0</v>
      </c>
      <c r="NU9" s="2" cm="1">
        <f t="array" ref="NU9">INDEX(云配队!$J14:$AC14,1,NU$1)</f>
        <v>0</v>
      </c>
      <c r="NV9" s="2">
        <f>IFERROR(MATCH(NU9,增益!$A$2:$A$40,FALSE),1)</f>
        <v>1</v>
      </c>
      <c r="NW9" s="2" cm="1">
        <f t="array" ref="NW9">INDEX(增益!$A$2:$Q$40,NV9,MATCH(NW$8,增益!$B$1:$Q$1,0)+1)*$AI9</f>
        <v>0</v>
      </c>
      <c r="NX9" s="2" cm="1">
        <f t="array" ref="NX9">INDEX(增益!$A$2:$Q$40,NV9,MATCH(NX$8,增益!$B$1:$Q$1,0)+1)*$AI9</f>
        <v>0</v>
      </c>
      <c r="NY9" s="2" cm="1">
        <f t="array" ref="NY9">INDEX(增益!$A$2:$Q$40,NV9,MATCH(NY$8,增益!$B$1:$Q$1,0)+1)*$AI9</f>
        <v>0</v>
      </c>
      <c r="NZ9" s="2" cm="1">
        <f t="array" ref="NZ9">INDEX(增益!$A$2:$Q$40,NV9,MATCH(NZ$8,增益!$B$1:$Q$1,0)+1)*$AI9</f>
        <v>0</v>
      </c>
      <c r="OA9" s="2" cm="1">
        <f t="array" ref="OA9">INDEX(增益!$A$2:$Q$40,NV9,MATCH(OA$8,增益!$B$1:$Q$1,0)+1)*$AI9</f>
        <v>0</v>
      </c>
      <c r="OB9" s="2" cm="1">
        <f t="array" ref="OB9">INDEX(增益!$A$2:$Q$40,NV9,MATCH(OB$8,增益!$B$1:$Q$1,0)+1)*$AI9</f>
        <v>0</v>
      </c>
      <c r="OC9" s="2" cm="1">
        <f t="array" ref="OC9">INDEX(增益!$A$2:$Q$40,NV9,MATCH(OC$8,增益!$B$1:$Q$1,0)+1)*$AI9</f>
        <v>0</v>
      </c>
      <c r="OD9" s="2" cm="1">
        <f t="array" ref="OD9">INDEX(增益!$A$2:$Q$40,NV9,MATCH(OD$8,增益!$B$1:$Q$1,0)+1)*$AI9</f>
        <v>0</v>
      </c>
      <c r="OE9" s="2" cm="1">
        <f t="array" ref="OE9">INDEX(增益!$A$2:$Q$40,NV9,MATCH(OE$8,增益!$B$1:$Q$1,0)+1)*$AI9</f>
        <v>0</v>
      </c>
      <c r="OF9" s="2" cm="1">
        <f t="array" ref="OF9">INDEX(增益!$A$2:$Q$40,NV9,MATCH(OF$8,增益!$B$1:$Q$1,0)+1)*$AI9</f>
        <v>0</v>
      </c>
      <c r="OG9" s="2" cm="1">
        <f t="array" ref="OG9">INDEX(动作!$O$3:$O$113,NV4)</f>
        <v>0</v>
      </c>
      <c r="OH9" s="2" cm="1">
        <f t="array" ref="OH9">INDEX(动作!$P$3:$P$113,NV4)</f>
        <v>0</v>
      </c>
      <c r="OI9" s="2" cm="1">
        <f t="array" ref="OI9">INDEX(动作!$Q$3:$Q$113,NV4)</f>
        <v>0</v>
      </c>
      <c r="OJ9" s="2" cm="1">
        <f t="array" ref="OJ9">INDEX(动作!$R$3:$R$113,NV4)</f>
        <v>0</v>
      </c>
      <c r="OK9" s="2" cm="1">
        <f t="array" ref="OK9">INDEX(动作!$S$3:$S$113,NV4)</f>
        <v>0</v>
      </c>
      <c r="OM9" s="2" cm="1">
        <f t="array" ref="OM9">INDEX(增益!$A$2:$Q$40,NV9,MATCH(OM$8,增益!$B$1:$Q$1,0)+1)*$AI9</f>
        <v>0</v>
      </c>
      <c r="ON9" s="2" cm="1">
        <f t="array" ref="ON9">INDEX(增益!$A$2:$Q$40,NV9,MATCH(ON$8,增益!$B$1:$Q$1,0)+1)*$AI9</f>
        <v>0</v>
      </c>
      <c r="OO9" s="2" cm="1">
        <f t="array" ref="OO9">INDEX(增益!$A$2:$Q$40,NV9,MATCH(OO$8,增益!$B$1:$Q$1,0)+1)*$AI9</f>
        <v>0</v>
      </c>
      <c r="OQ9" s="2" cm="1">
        <f t="array" ref="OQ9">INDEX(增益!$A$2:$Q$40,NV9,MATCH(OQ$8,增益!$B$1:$Q$1,0)+1)*$AI9</f>
        <v>0</v>
      </c>
      <c r="OS9" s="2" cm="1">
        <f t="array" ref="OS9">INDEX(增益!$A$2:$Q$40,NV9,MATCH(OS$8,增益!$B$1:$Q$1,0)+1)*$AI9</f>
        <v>0</v>
      </c>
      <c r="OT9" s="2" cm="1">
        <f t="array" ref="OT9">INDEX(增益!$A$2:$Q$40,NV9,MATCH(OT$8,增益!$B$1:$Q$1,0)+1)*$AI9</f>
        <v>0</v>
      </c>
      <c r="OX9" s="2" cm="1">
        <f t="array" ref="OX9">INDEX(云配队!$J14:$AC14,1,OX$1)</f>
        <v>0</v>
      </c>
      <c r="OY9" s="2">
        <f>IFERROR(MATCH(OX9,增益!$A$2:$A$40,FALSE),1)</f>
        <v>1</v>
      </c>
      <c r="OZ9" s="2" cm="1">
        <f t="array" ref="OZ9">INDEX(增益!$A$2:$Q$40,OY9,MATCH(OZ$8,增益!$B$1:$Q$1,0)+1)*$AI9</f>
        <v>0</v>
      </c>
      <c r="PA9" s="2" cm="1">
        <f t="array" ref="PA9">INDEX(增益!$A$2:$Q$40,OY9,MATCH(PA$8,增益!$B$1:$Q$1,0)+1)*$AI9</f>
        <v>0</v>
      </c>
      <c r="PB9" s="2" cm="1">
        <f t="array" ref="PB9">INDEX(增益!$A$2:$Q$40,OY9,MATCH(PB$8,增益!$B$1:$Q$1,0)+1)*$AI9</f>
        <v>0</v>
      </c>
      <c r="PC9" s="2" cm="1">
        <f t="array" ref="PC9">INDEX(增益!$A$2:$Q$40,OY9,MATCH(PC$8,增益!$B$1:$Q$1,0)+1)*$AI9</f>
        <v>0</v>
      </c>
      <c r="PD9" s="2" cm="1">
        <f t="array" ref="PD9">INDEX(增益!$A$2:$Q$40,OY9,MATCH(PD$8,增益!$B$1:$Q$1,0)+1)*$AI9</f>
        <v>0</v>
      </c>
      <c r="PE9" s="2" cm="1">
        <f t="array" ref="PE9">INDEX(增益!$A$2:$Q$40,OY9,MATCH(PE$8,增益!$B$1:$Q$1,0)+1)*$AI9</f>
        <v>0</v>
      </c>
      <c r="PF9" s="2" cm="1">
        <f t="array" ref="PF9">INDEX(增益!$A$2:$Q$40,OY9,MATCH(PF$8,增益!$B$1:$Q$1,0)+1)*$AI9</f>
        <v>0</v>
      </c>
      <c r="PG9" s="2" cm="1">
        <f t="array" ref="PG9">INDEX(增益!$A$2:$Q$40,OY9,MATCH(PG$8,增益!$B$1:$Q$1,0)+1)*$AI9</f>
        <v>0</v>
      </c>
      <c r="PH9" s="2" cm="1">
        <f t="array" ref="PH9">INDEX(增益!$A$2:$Q$40,OY9,MATCH(PH$8,增益!$B$1:$Q$1,0)+1)*$AI9</f>
        <v>0</v>
      </c>
      <c r="PI9" s="2" cm="1">
        <f t="array" ref="PI9">INDEX(增益!$A$2:$Q$40,OY9,MATCH(PI$8,增益!$B$1:$Q$1,0)+1)*$AI9</f>
        <v>0</v>
      </c>
      <c r="PJ9" s="2" cm="1">
        <f t="array" ref="PJ9">INDEX(动作!$O$3:$O$113,OY4)</f>
        <v>0</v>
      </c>
      <c r="PK9" s="2" cm="1">
        <f t="array" ref="PK9">INDEX(动作!$P$3:$P$113,OY4)</f>
        <v>0</v>
      </c>
      <c r="PL9" s="2" cm="1">
        <f t="array" ref="PL9">INDEX(动作!$Q$3:$Q$113,OY4)</f>
        <v>0</v>
      </c>
      <c r="PM9" s="2" cm="1">
        <f t="array" ref="PM9">INDEX(动作!$R$3:$R$113,OY4)</f>
        <v>0</v>
      </c>
      <c r="PN9" s="2" cm="1">
        <f t="array" ref="PN9">INDEX(动作!$S$3:$S$113,OY4)</f>
        <v>0</v>
      </c>
      <c r="PP9" s="2" cm="1">
        <f t="array" ref="PP9">INDEX(增益!$A$2:$Q$40,OY9,MATCH(PP$8,增益!$B$1:$Q$1,0)+1)*$AI9</f>
        <v>0</v>
      </c>
      <c r="PQ9" s="2" cm="1">
        <f t="array" ref="PQ9">INDEX(增益!$A$2:$Q$40,OY9,MATCH(PQ$8,增益!$B$1:$Q$1,0)+1)*$AI9</f>
        <v>0</v>
      </c>
      <c r="PR9" s="2" cm="1">
        <f t="array" ref="PR9">INDEX(增益!$A$2:$Q$40,OY9,MATCH(PR$8,增益!$B$1:$Q$1,0)+1)*$AI9</f>
        <v>0</v>
      </c>
      <c r="PT9" s="2" cm="1">
        <f t="array" ref="PT9">INDEX(增益!$A$2:$Q$40,OY9,MATCH(PT$8,增益!$B$1:$Q$1,0)+1)*$AI9</f>
        <v>0</v>
      </c>
      <c r="PV9" s="2" cm="1">
        <f t="array" ref="PV9">INDEX(增益!$A$2:$Q$40,OY9,MATCH(PV$8,增益!$B$1:$Q$1,0)+1)*$AI9</f>
        <v>0</v>
      </c>
      <c r="PW9" s="2" cm="1">
        <f t="array" ref="PW9">INDEX(增益!$A$2:$Q$40,OY9,MATCH(PW$8,增益!$B$1:$Q$1,0)+1)*$AI9</f>
        <v>0</v>
      </c>
      <c r="QA9" s="2" cm="1">
        <f t="array" ref="QA9">INDEX(云配队!$J14:$AC14,1,QA$1)</f>
        <v>0</v>
      </c>
      <c r="QB9" s="2">
        <f>IFERROR(MATCH(QA9,增益!$A$2:$A$40,FALSE),1)</f>
        <v>1</v>
      </c>
      <c r="QC9" s="2" cm="1">
        <f t="array" ref="QC9">INDEX(增益!$A$2:$Q$40,QB9,MATCH(QC$8,增益!$B$1:$Q$1,0)+1)*$AI9</f>
        <v>0</v>
      </c>
      <c r="QD9" s="2" cm="1">
        <f t="array" ref="QD9">INDEX(增益!$A$2:$Q$40,QB9,MATCH(QD$8,增益!$B$1:$Q$1,0)+1)*$AI9</f>
        <v>0</v>
      </c>
      <c r="QE9" s="2" cm="1">
        <f t="array" ref="QE9">INDEX(增益!$A$2:$Q$40,QB9,MATCH(QE$8,增益!$B$1:$Q$1,0)+1)*$AI9</f>
        <v>0</v>
      </c>
      <c r="QF9" s="2" cm="1">
        <f t="array" ref="QF9">INDEX(增益!$A$2:$Q$40,QB9,MATCH(QF$8,增益!$B$1:$Q$1,0)+1)*$AI9</f>
        <v>0</v>
      </c>
      <c r="QG9" s="2" cm="1">
        <f t="array" ref="QG9">INDEX(增益!$A$2:$Q$40,QB9,MATCH(QG$8,增益!$B$1:$Q$1,0)+1)*$AI9</f>
        <v>0</v>
      </c>
      <c r="QH9" s="2" cm="1">
        <f t="array" ref="QH9">INDEX(增益!$A$2:$Q$40,QB9,MATCH(QH$8,增益!$B$1:$Q$1,0)+1)*$AI9</f>
        <v>0</v>
      </c>
      <c r="QI9" s="2" cm="1">
        <f t="array" ref="QI9">INDEX(增益!$A$2:$Q$40,QB9,MATCH(QI$8,增益!$B$1:$Q$1,0)+1)*$AI9</f>
        <v>0</v>
      </c>
      <c r="QJ9" s="2" cm="1">
        <f t="array" ref="QJ9">INDEX(增益!$A$2:$Q$40,QB9,MATCH(QJ$8,增益!$B$1:$Q$1,0)+1)*$AI9</f>
        <v>0</v>
      </c>
      <c r="QK9" s="2" cm="1">
        <f t="array" ref="QK9">INDEX(增益!$A$2:$Q$40,QB9,MATCH(QK$8,增益!$B$1:$Q$1,0)+1)*$AI9</f>
        <v>0</v>
      </c>
      <c r="QL9" s="2" cm="1">
        <f t="array" ref="QL9">INDEX(增益!$A$2:$Q$40,QB9,MATCH(QL$8,增益!$B$1:$Q$1,0)+1)*$AI9</f>
        <v>0</v>
      </c>
      <c r="QM9" s="2" cm="1">
        <f t="array" ref="QM9">INDEX(动作!$O$3:$O$113,QB4)</f>
        <v>0</v>
      </c>
      <c r="QN9" s="2" cm="1">
        <f t="array" ref="QN9">INDEX(动作!$P$3:$P$113,QB4)</f>
        <v>0</v>
      </c>
      <c r="QO9" s="2" cm="1">
        <f t="array" ref="QO9">INDEX(动作!$Q$3:$Q$113,QB4)</f>
        <v>0</v>
      </c>
      <c r="QP9" s="2" cm="1">
        <f t="array" ref="QP9">INDEX(动作!$R$3:$R$113,QB4)</f>
        <v>0</v>
      </c>
      <c r="QQ9" s="2" cm="1">
        <f t="array" ref="QQ9">INDEX(动作!$S$3:$S$113,QB4)</f>
        <v>0</v>
      </c>
      <c r="QS9" s="2" cm="1">
        <f t="array" ref="QS9">INDEX(增益!$A$2:$Q$40,QB9,MATCH(QS$8,增益!$B$1:$Q$1,0)+1)*$AI9</f>
        <v>0</v>
      </c>
      <c r="QT9" s="2" cm="1">
        <f t="array" ref="QT9">INDEX(增益!$A$2:$Q$40,QB9,MATCH(QT$8,增益!$B$1:$Q$1,0)+1)*$AI9</f>
        <v>0</v>
      </c>
      <c r="QU9" s="2" cm="1">
        <f t="array" ref="QU9">INDEX(增益!$A$2:$Q$40,QB9,MATCH(QU$8,增益!$B$1:$Q$1,0)+1)*$AI9</f>
        <v>0</v>
      </c>
      <c r="QW9" s="2" cm="1">
        <f t="array" ref="QW9">INDEX(增益!$A$2:$Q$40,QB9,MATCH(QW$8,增益!$B$1:$Q$1,0)+1)*$AI9</f>
        <v>0</v>
      </c>
      <c r="QY9" s="2" cm="1">
        <f t="array" ref="QY9">INDEX(增益!$A$2:$Q$40,QB9,MATCH(QY$8,增益!$B$1:$Q$1,0)+1)*$AI9</f>
        <v>0</v>
      </c>
      <c r="QZ9" s="2" cm="1">
        <f t="array" ref="QZ9">INDEX(增益!$A$2:$Q$40,QB9,MATCH(QZ$8,增益!$B$1:$Q$1,0)+1)*$AI9</f>
        <v>0</v>
      </c>
      <c r="RD9" s="2" cm="1">
        <f t="array" ref="RD9">INDEX(云配队!$J14:$AC14,1,RD$1)</f>
        <v>0</v>
      </c>
      <c r="RE9" s="2">
        <f>IFERROR(MATCH(RD9,增益!$A$2:$A$40,FALSE),1)</f>
        <v>1</v>
      </c>
      <c r="RF9" s="2" cm="1">
        <f t="array" ref="RF9">INDEX(增益!$A$2:$Q$40,RE9,MATCH(RF$8,增益!$B$1:$Q$1,0)+1)*$AI9</f>
        <v>0</v>
      </c>
      <c r="RG9" s="2" cm="1">
        <f t="array" ref="RG9">INDEX(增益!$A$2:$Q$40,RE9,MATCH(RG$8,增益!$B$1:$Q$1,0)+1)*$AI9</f>
        <v>0</v>
      </c>
      <c r="RH9" s="2" cm="1">
        <f t="array" ref="RH9">INDEX(增益!$A$2:$Q$40,RE9,MATCH(RH$8,增益!$B$1:$Q$1,0)+1)*$AI9</f>
        <v>0</v>
      </c>
      <c r="RI9" s="2" cm="1">
        <f t="array" ref="RI9">INDEX(增益!$A$2:$Q$40,RE9,MATCH(RI$8,增益!$B$1:$Q$1,0)+1)*$AI9</f>
        <v>0</v>
      </c>
      <c r="RJ9" s="2" cm="1">
        <f t="array" ref="RJ9">INDEX(增益!$A$2:$Q$40,RE9,MATCH(RJ$8,增益!$B$1:$Q$1,0)+1)*$AI9</f>
        <v>0</v>
      </c>
      <c r="RK9" s="2" cm="1">
        <f t="array" ref="RK9">INDEX(增益!$A$2:$Q$40,RE9,MATCH(RK$8,增益!$B$1:$Q$1,0)+1)*$AI9</f>
        <v>0</v>
      </c>
      <c r="RL9" s="2" cm="1">
        <f t="array" ref="RL9">INDEX(增益!$A$2:$Q$40,RE9,MATCH(RL$8,增益!$B$1:$Q$1,0)+1)*$AI9</f>
        <v>0</v>
      </c>
      <c r="RM9" s="2" cm="1">
        <f t="array" ref="RM9">INDEX(增益!$A$2:$Q$40,RE9,MATCH(RM$8,增益!$B$1:$Q$1,0)+1)*$AI9</f>
        <v>0</v>
      </c>
      <c r="RN9" s="2" cm="1">
        <f t="array" ref="RN9">INDEX(增益!$A$2:$Q$40,RE9,MATCH(RN$8,增益!$B$1:$Q$1,0)+1)*$AI9</f>
        <v>0</v>
      </c>
      <c r="RO9" s="2" cm="1">
        <f t="array" ref="RO9">INDEX(增益!$A$2:$Q$40,RE9,MATCH(RO$8,增益!$B$1:$Q$1,0)+1)*$AI9</f>
        <v>0</v>
      </c>
      <c r="RP9" s="2" cm="1">
        <f t="array" ref="RP9">INDEX(动作!$O$3:$O$113,RE4)</f>
        <v>0</v>
      </c>
      <c r="RQ9" s="2" cm="1">
        <f t="array" ref="RQ9">INDEX(动作!$P$3:$P$113,RE4)</f>
        <v>0</v>
      </c>
      <c r="RR9" s="2" cm="1">
        <f t="array" ref="RR9">INDEX(动作!$Q$3:$Q$113,RE4)</f>
        <v>0</v>
      </c>
      <c r="RS9" s="2" cm="1">
        <f t="array" ref="RS9">INDEX(动作!$R$3:$R$113,RE4)</f>
        <v>0</v>
      </c>
      <c r="RT9" s="2" cm="1">
        <f t="array" ref="RT9">INDEX(动作!$S$3:$S$113,RE4)</f>
        <v>0</v>
      </c>
      <c r="RV9" s="2" cm="1">
        <f t="array" ref="RV9">INDEX(增益!$A$2:$Q$40,RE9,MATCH(RV$8,增益!$B$1:$Q$1,0)+1)*$AI9</f>
        <v>0</v>
      </c>
      <c r="RW9" s="2" cm="1">
        <f t="array" ref="RW9">INDEX(增益!$A$2:$Q$40,RE9,MATCH(RW$8,增益!$B$1:$Q$1,0)+1)*$AI9</f>
        <v>0</v>
      </c>
      <c r="RX9" s="2" cm="1">
        <f t="array" ref="RX9">INDEX(增益!$A$2:$Q$40,RE9,MATCH(RX$8,增益!$B$1:$Q$1,0)+1)*$AI9</f>
        <v>0</v>
      </c>
      <c r="RZ9" s="2" cm="1">
        <f t="array" ref="RZ9">INDEX(增益!$A$2:$Q$40,RE9,MATCH(RZ$8,增益!$B$1:$Q$1,0)+1)*$AI9</f>
        <v>0</v>
      </c>
      <c r="SB9" s="2" cm="1">
        <f t="array" ref="SB9">INDEX(增益!$A$2:$Q$40,RE9,MATCH(SB$8,增益!$B$1:$Q$1,0)+1)*$AI9</f>
        <v>0</v>
      </c>
      <c r="SC9" s="2" cm="1">
        <f t="array" ref="SC9">INDEX(增益!$A$2:$Q$40,RE9,MATCH(SC$8,增益!$B$1:$Q$1,0)+1)*$AI9</f>
        <v>0</v>
      </c>
      <c r="SG9" s="2" cm="1">
        <f t="array" ref="SG9">INDEX(云配队!$J14:$AC14,1,SG$1)</f>
        <v>0</v>
      </c>
      <c r="SH9" s="2">
        <f>IFERROR(MATCH(SG9,增益!$A$2:$A$40,FALSE),1)</f>
        <v>1</v>
      </c>
      <c r="SI9" s="2" cm="1">
        <f t="array" ref="SI9">INDEX(增益!$A$2:$Q$40,SH9,MATCH(SI$8,增益!$B$1:$Q$1,0)+1)*$AI9</f>
        <v>0</v>
      </c>
      <c r="SJ9" s="2" cm="1">
        <f t="array" ref="SJ9">INDEX(增益!$A$2:$Q$40,SH9,MATCH(SJ$8,增益!$B$1:$Q$1,0)+1)*$AI9</f>
        <v>0</v>
      </c>
      <c r="SK9" s="2" cm="1">
        <f t="array" ref="SK9">INDEX(增益!$A$2:$Q$40,SH9,MATCH(SK$8,增益!$B$1:$Q$1,0)+1)*$AI9</f>
        <v>0</v>
      </c>
      <c r="SL9" s="2" cm="1">
        <f t="array" ref="SL9">INDEX(增益!$A$2:$Q$40,SH9,MATCH(SL$8,增益!$B$1:$Q$1,0)+1)*$AI9</f>
        <v>0</v>
      </c>
      <c r="SM9" s="2" cm="1">
        <f t="array" ref="SM9">INDEX(增益!$A$2:$Q$40,SH9,MATCH(SM$8,增益!$B$1:$Q$1,0)+1)*$AI9</f>
        <v>0</v>
      </c>
      <c r="SN9" s="2" cm="1">
        <f t="array" ref="SN9">INDEX(增益!$A$2:$Q$40,SH9,MATCH(SN$8,增益!$B$1:$Q$1,0)+1)*$AI9</f>
        <v>0</v>
      </c>
      <c r="SO9" s="2" cm="1">
        <f t="array" ref="SO9">INDEX(增益!$A$2:$Q$40,SH9,MATCH(SO$8,增益!$B$1:$Q$1,0)+1)*$AI9</f>
        <v>0</v>
      </c>
      <c r="SP9" s="2" cm="1">
        <f t="array" ref="SP9">INDEX(增益!$A$2:$Q$40,SH9,MATCH(SP$8,增益!$B$1:$Q$1,0)+1)*$AI9</f>
        <v>0</v>
      </c>
      <c r="SQ9" s="2" cm="1">
        <f t="array" ref="SQ9">INDEX(增益!$A$2:$Q$40,SH9,MATCH(SQ$8,增益!$B$1:$Q$1,0)+1)*$AI9</f>
        <v>0</v>
      </c>
      <c r="SR9" s="2" cm="1">
        <f t="array" ref="SR9">INDEX(增益!$A$2:$Q$40,SH9,MATCH(SR$8,增益!$B$1:$Q$1,0)+1)*$AI9</f>
        <v>0</v>
      </c>
      <c r="SS9" s="2" cm="1">
        <f t="array" ref="SS9">INDEX(动作!$O$3:$O$113,SH4)</f>
        <v>0</v>
      </c>
      <c r="ST9" s="2" cm="1">
        <f t="array" ref="ST9">INDEX(动作!$P$3:$P$113,SH4)</f>
        <v>0</v>
      </c>
      <c r="SU9" s="2" cm="1">
        <f t="array" ref="SU9">INDEX(动作!$Q$3:$Q$113,SH4)</f>
        <v>0</v>
      </c>
      <c r="SV9" s="2" cm="1">
        <f t="array" ref="SV9">INDEX(动作!$R$3:$R$113,SH4)</f>
        <v>0</v>
      </c>
      <c r="SW9" s="2" cm="1">
        <f t="array" ref="SW9">INDEX(动作!$S$3:$S$113,SH4)</f>
        <v>0</v>
      </c>
      <c r="SY9" s="2" cm="1">
        <f t="array" ref="SY9">INDEX(增益!$A$2:$Q$40,SH9,MATCH(SY$8,增益!$B$1:$Q$1,0)+1)*$AI9</f>
        <v>0</v>
      </c>
      <c r="SZ9" s="2" cm="1">
        <f t="array" ref="SZ9">INDEX(增益!$A$2:$Q$40,SH9,MATCH(SZ$8,增益!$B$1:$Q$1,0)+1)*$AI9</f>
        <v>0</v>
      </c>
      <c r="TA9" s="2" cm="1">
        <f t="array" ref="TA9">INDEX(增益!$A$2:$Q$40,SH9,MATCH(TA$8,增益!$B$1:$Q$1,0)+1)*$AI9</f>
        <v>0</v>
      </c>
      <c r="TC9" s="2" cm="1">
        <f t="array" ref="TC9">INDEX(增益!$A$2:$Q$40,SH9,MATCH(TC$8,增益!$B$1:$Q$1,0)+1)*$AI9</f>
        <v>0</v>
      </c>
      <c r="TE9" s="2" cm="1">
        <f t="array" ref="TE9">INDEX(增益!$A$2:$Q$40,SH9,MATCH(TE$8,增益!$B$1:$Q$1,0)+1)*$AI9</f>
        <v>0</v>
      </c>
      <c r="TF9" s="2" cm="1">
        <f t="array" ref="TF9">INDEX(增益!$A$2:$Q$40,SH9,MATCH(TF$8,增益!$B$1:$Q$1,0)+1)*$AI9</f>
        <v>0</v>
      </c>
      <c r="TJ9" s="2" cm="1">
        <f t="array" ref="TJ9">INDEX(云配队!$J14:$AC14,1,TJ$1)</f>
        <v>0</v>
      </c>
      <c r="TK9" s="2">
        <f>IFERROR(MATCH(TJ9,增益!$A$2:$A$40,FALSE),1)</f>
        <v>1</v>
      </c>
      <c r="TL9" s="2" cm="1">
        <f t="array" ref="TL9">INDEX(增益!$A$2:$Q$40,TK9,MATCH(TL$8,增益!$B$1:$Q$1,0)+1)*$AI9</f>
        <v>0</v>
      </c>
      <c r="TM9" s="2" cm="1">
        <f t="array" ref="TM9">INDEX(增益!$A$2:$Q$40,TK9,MATCH(TM$8,增益!$B$1:$Q$1,0)+1)*$AI9</f>
        <v>0</v>
      </c>
      <c r="TN9" s="2" cm="1">
        <f t="array" ref="TN9">INDEX(增益!$A$2:$Q$40,TK9,MATCH(TN$8,增益!$B$1:$Q$1,0)+1)*$AI9</f>
        <v>0</v>
      </c>
      <c r="TO9" s="2" cm="1">
        <f t="array" ref="TO9">INDEX(增益!$A$2:$Q$40,TK9,MATCH(TO$8,增益!$B$1:$Q$1,0)+1)*$AI9</f>
        <v>0</v>
      </c>
      <c r="TP9" s="2" cm="1">
        <f t="array" ref="TP9">INDEX(增益!$A$2:$Q$40,TK9,MATCH(TP$8,增益!$B$1:$Q$1,0)+1)*$AI9</f>
        <v>0</v>
      </c>
      <c r="TQ9" s="2" cm="1">
        <f t="array" ref="TQ9">INDEX(增益!$A$2:$Q$40,TK9,MATCH(TQ$8,增益!$B$1:$Q$1,0)+1)*$AI9</f>
        <v>0</v>
      </c>
      <c r="TR9" s="2" cm="1">
        <f t="array" ref="TR9">INDEX(增益!$A$2:$Q$40,TK9,MATCH(TR$8,增益!$B$1:$Q$1,0)+1)*$AI9</f>
        <v>0</v>
      </c>
      <c r="TS9" s="2" cm="1">
        <f t="array" ref="TS9">INDEX(增益!$A$2:$Q$40,TK9,MATCH(TS$8,增益!$B$1:$Q$1,0)+1)*$AI9</f>
        <v>0</v>
      </c>
      <c r="TT9" s="2" cm="1">
        <f t="array" ref="TT9">INDEX(增益!$A$2:$Q$40,TK9,MATCH(TT$8,增益!$B$1:$Q$1,0)+1)*$AI9</f>
        <v>0</v>
      </c>
      <c r="TU9" s="2" cm="1">
        <f t="array" ref="TU9">INDEX(增益!$A$2:$Q$40,TK9,MATCH(TU$8,增益!$B$1:$Q$1,0)+1)*$AI9</f>
        <v>0</v>
      </c>
      <c r="TV9" s="2" cm="1">
        <f t="array" ref="TV9">INDEX(动作!$O$3:$O$113,TK4)</f>
        <v>0</v>
      </c>
      <c r="TW9" s="2" cm="1">
        <f t="array" ref="TW9">INDEX(动作!$P$3:$P$113,TK4)</f>
        <v>0</v>
      </c>
      <c r="TX9" s="2" cm="1">
        <f t="array" ref="TX9">INDEX(动作!$Q$3:$Q$113,TK4)</f>
        <v>0</v>
      </c>
      <c r="TY9" s="2" cm="1">
        <f t="array" ref="TY9">INDEX(动作!$R$3:$R$113,TK4)</f>
        <v>0</v>
      </c>
      <c r="TZ9" s="2" cm="1">
        <f t="array" ref="TZ9">INDEX(动作!$S$3:$S$113,TK4)</f>
        <v>0</v>
      </c>
      <c r="UB9" s="2" cm="1">
        <f t="array" ref="UB9">INDEX(增益!$A$2:$Q$40,TK9,MATCH(UB$8,增益!$B$1:$Q$1,0)+1)*$AI9</f>
        <v>0</v>
      </c>
      <c r="UC9" s="2" cm="1">
        <f t="array" ref="UC9">INDEX(增益!$A$2:$Q$40,TK9,MATCH(UC$8,增益!$B$1:$Q$1,0)+1)*$AI9</f>
        <v>0</v>
      </c>
      <c r="UD9" s="2" cm="1">
        <f t="array" ref="UD9">INDEX(增益!$A$2:$Q$40,TK9,MATCH(UD$8,增益!$B$1:$Q$1,0)+1)*$AI9</f>
        <v>0</v>
      </c>
      <c r="UF9" s="2" cm="1">
        <f t="array" ref="UF9">INDEX(增益!$A$2:$Q$40,TK9,MATCH(UF$8,增益!$B$1:$Q$1,0)+1)*$AI9</f>
        <v>0</v>
      </c>
      <c r="UH9" s="2" cm="1">
        <f t="array" ref="UH9">INDEX(增益!$A$2:$Q$40,TK9,MATCH(UH$8,增益!$B$1:$Q$1,0)+1)*$AI9</f>
        <v>0</v>
      </c>
      <c r="UI9" s="2" cm="1">
        <f t="array" ref="UI9">INDEX(增益!$A$2:$Q$40,TK9,MATCH(UI$8,增益!$B$1:$Q$1,0)+1)*$AI9</f>
        <v>0</v>
      </c>
      <c r="UM9" s="2" cm="1">
        <f t="array" ref="UM9">INDEX(云配队!$J14:$AC14,1,UM$1)</f>
        <v>0</v>
      </c>
      <c r="UN9" s="2">
        <f>IFERROR(MATCH(UM9,增益!$A$2:$A$40,FALSE),1)</f>
        <v>1</v>
      </c>
      <c r="UO9" s="2" cm="1">
        <f t="array" ref="UO9">INDEX(增益!$A$2:$Q$40,UN9,MATCH(UO$8,增益!$B$1:$Q$1,0)+1)*$AI9</f>
        <v>0</v>
      </c>
      <c r="UP9" s="2" cm="1">
        <f t="array" ref="UP9">INDEX(增益!$A$2:$Q$40,UN9,MATCH(UP$8,增益!$B$1:$Q$1,0)+1)*$AI9</f>
        <v>0</v>
      </c>
      <c r="UQ9" s="2" cm="1">
        <f t="array" ref="UQ9">INDEX(增益!$A$2:$Q$40,UN9,MATCH(UQ$8,增益!$B$1:$Q$1,0)+1)*$AI9</f>
        <v>0</v>
      </c>
      <c r="UR9" s="2" cm="1">
        <f t="array" ref="UR9">INDEX(增益!$A$2:$Q$40,UN9,MATCH(UR$8,增益!$B$1:$Q$1,0)+1)*$AI9</f>
        <v>0</v>
      </c>
      <c r="US9" s="2" cm="1">
        <f t="array" ref="US9">INDEX(增益!$A$2:$Q$40,UN9,MATCH(US$8,增益!$B$1:$Q$1,0)+1)*$AI9</f>
        <v>0</v>
      </c>
      <c r="UT9" s="2" cm="1">
        <f t="array" ref="UT9">INDEX(增益!$A$2:$Q$40,UN9,MATCH(UT$8,增益!$B$1:$Q$1,0)+1)*$AI9</f>
        <v>0</v>
      </c>
      <c r="UU9" s="2" cm="1">
        <f t="array" ref="UU9">INDEX(增益!$A$2:$Q$40,UN9,MATCH(UU$8,增益!$B$1:$Q$1,0)+1)*$AI9</f>
        <v>0</v>
      </c>
      <c r="UV9" s="2" cm="1">
        <f t="array" ref="UV9">INDEX(增益!$A$2:$Q$40,UN9,MATCH(UV$8,增益!$B$1:$Q$1,0)+1)*$AI9</f>
        <v>0</v>
      </c>
      <c r="UW9" s="2" cm="1">
        <f t="array" ref="UW9">INDEX(增益!$A$2:$Q$40,UN9,MATCH(UW$8,增益!$B$1:$Q$1,0)+1)*$AI9</f>
        <v>0</v>
      </c>
      <c r="UX9" s="2" cm="1">
        <f t="array" ref="UX9">INDEX(增益!$A$2:$Q$40,UN9,MATCH(UX$8,增益!$B$1:$Q$1,0)+1)*$AI9</f>
        <v>0</v>
      </c>
      <c r="UY9" s="2" cm="1">
        <f t="array" ref="UY9">INDEX(动作!$O$3:$O$113,UN4)</f>
        <v>0</v>
      </c>
      <c r="UZ9" s="2" cm="1">
        <f t="array" ref="UZ9">INDEX(动作!$P$3:$P$113,UN4)</f>
        <v>0</v>
      </c>
      <c r="VA9" s="2" cm="1">
        <f t="array" ref="VA9">INDEX(动作!$Q$3:$Q$113,UN4)</f>
        <v>0</v>
      </c>
      <c r="VB9" s="2" cm="1">
        <f t="array" ref="VB9">INDEX(动作!$R$3:$R$113,UN4)</f>
        <v>0</v>
      </c>
      <c r="VC9" s="2" cm="1">
        <f t="array" ref="VC9">INDEX(动作!$S$3:$S$113,UN4)</f>
        <v>0</v>
      </c>
      <c r="VE9" s="2" cm="1">
        <f t="array" ref="VE9">INDEX(增益!$A$2:$Q$40,UN9,MATCH(VE$8,增益!$B$1:$Q$1,0)+1)*$AI9</f>
        <v>0</v>
      </c>
      <c r="VF9" s="2" cm="1">
        <f t="array" ref="VF9">INDEX(增益!$A$2:$Q$40,UN9,MATCH(VF$8,增益!$B$1:$Q$1,0)+1)*$AI9</f>
        <v>0</v>
      </c>
      <c r="VG9" s="2" cm="1">
        <f t="array" ref="VG9">INDEX(增益!$A$2:$Q$40,UN9,MATCH(VG$8,增益!$B$1:$Q$1,0)+1)*$AI9</f>
        <v>0</v>
      </c>
      <c r="VI9" s="2" cm="1">
        <f t="array" ref="VI9">INDEX(增益!$A$2:$Q$40,UN9,MATCH(VI$8,增益!$B$1:$Q$1,0)+1)*$AI9</f>
        <v>0</v>
      </c>
      <c r="VK9" s="2" cm="1">
        <f t="array" ref="VK9">INDEX(增益!$A$2:$Q$40,UN9,MATCH(VK$8,增益!$B$1:$Q$1,0)+1)*$AI9</f>
        <v>0</v>
      </c>
      <c r="VL9" s="2" cm="1">
        <f t="array" ref="VL9">INDEX(增益!$A$2:$Q$40,UN9,MATCH(VL$8,增益!$B$1:$Q$1,0)+1)*$AI9</f>
        <v>0</v>
      </c>
      <c r="VP9" s="2" cm="1">
        <f t="array" ref="VP9">INDEX(云配队!$J14:$AC14,1,VP$1)</f>
        <v>0</v>
      </c>
      <c r="VQ9" s="2">
        <f>IFERROR(MATCH(VP9,增益!$A$2:$A$40,FALSE),1)</f>
        <v>1</v>
      </c>
      <c r="VR9" s="2" cm="1">
        <f t="array" ref="VR9">INDEX(增益!$A$2:$Q$40,VQ9,MATCH(VR$8,增益!$B$1:$Q$1,0)+1)*$AI9</f>
        <v>0</v>
      </c>
      <c r="VS9" s="2" cm="1">
        <f t="array" ref="VS9">INDEX(增益!$A$2:$Q$40,VQ9,MATCH(VS$8,增益!$B$1:$Q$1,0)+1)*$AI9</f>
        <v>0</v>
      </c>
      <c r="VT9" s="2" cm="1">
        <f t="array" ref="VT9">INDEX(增益!$A$2:$Q$40,VQ9,MATCH(VT$8,增益!$B$1:$Q$1,0)+1)*$AI9</f>
        <v>0</v>
      </c>
      <c r="VU9" s="2" cm="1">
        <f t="array" ref="VU9">INDEX(增益!$A$2:$Q$40,VQ9,MATCH(VU$8,增益!$B$1:$Q$1,0)+1)*$AI9</f>
        <v>0</v>
      </c>
      <c r="VV9" s="2" cm="1">
        <f t="array" ref="VV9">INDEX(增益!$A$2:$Q$40,VQ9,MATCH(VV$8,增益!$B$1:$Q$1,0)+1)*$AI9</f>
        <v>0</v>
      </c>
      <c r="VW9" s="2" cm="1">
        <f t="array" ref="VW9">INDEX(增益!$A$2:$Q$40,VQ9,MATCH(VW$8,增益!$B$1:$Q$1,0)+1)*$AI9</f>
        <v>0</v>
      </c>
      <c r="VX9" s="2" cm="1">
        <f t="array" ref="VX9">INDEX(增益!$A$2:$Q$40,VQ9,MATCH(VX$8,增益!$B$1:$Q$1,0)+1)*$AI9</f>
        <v>0</v>
      </c>
      <c r="VY9" s="2" cm="1">
        <f t="array" ref="VY9">INDEX(增益!$A$2:$Q$40,VQ9,MATCH(VY$8,增益!$B$1:$Q$1,0)+1)*$AI9</f>
        <v>0</v>
      </c>
      <c r="VZ9" s="2" cm="1">
        <f t="array" ref="VZ9">INDEX(增益!$A$2:$Q$40,VQ9,MATCH(VZ$8,增益!$B$1:$Q$1,0)+1)*$AI9</f>
        <v>0</v>
      </c>
      <c r="WA9" s="2" cm="1">
        <f t="array" ref="WA9">INDEX(增益!$A$2:$Q$40,VQ9,MATCH(WA$8,增益!$B$1:$Q$1,0)+1)*$AI9</f>
        <v>0</v>
      </c>
      <c r="WB9" s="2" cm="1">
        <f t="array" ref="WB9">INDEX(动作!$O$3:$O$113,VQ4)</f>
        <v>0</v>
      </c>
      <c r="WC9" s="2" cm="1">
        <f t="array" ref="WC9">INDEX(动作!$P$3:$P$113,VQ4)</f>
        <v>0</v>
      </c>
      <c r="WD9" s="2" cm="1">
        <f t="array" ref="WD9">INDEX(动作!$Q$3:$Q$113,VQ4)</f>
        <v>0</v>
      </c>
      <c r="WE9" s="2" cm="1">
        <f t="array" ref="WE9">INDEX(动作!$R$3:$R$113,VQ4)</f>
        <v>0</v>
      </c>
      <c r="WF9" s="2" cm="1">
        <f t="array" ref="WF9">INDEX(动作!$S$3:$S$113,VQ4)</f>
        <v>0</v>
      </c>
      <c r="WH9" s="2" cm="1">
        <f t="array" ref="WH9">INDEX(增益!$A$2:$Q$40,VQ9,MATCH(WH$8,增益!$B$1:$Q$1,0)+1)*$AI9</f>
        <v>0</v>
      </c>
      <c r="WI9" s="2" cm="1">
        <f t="array" ref="WI9">INDEX(增益!$A$2:$Q$40,VQ9,MATCH(WI$8,增益!$B$1:$Q$1,0)+1)*$AI9</f>
        <v>0</v>
      </c>
      <c r="WJ9" s="2" cm="1">
        <f t="array" ref="WJ9">INDEX(增益!$A$2:$Q$40,VQ9,MATCH(WJ$8,增益!$B$1:$Q$1,0)+1)*$AI9</f>
        <v>0</v>
      </c>
      <c r="WL9" s="2" cm="1">
        <f t="array" ref="WL9">INDEX(增益!$A$2:$Q$40,VQ9,MATCH(WL$8,增益!$B$1:$Q$1,0)+1)*$AI9</f>
        <v>0</v>
      </c>
      <c r="WN9" s="2" cm="1">
        <f t="array" ref="WN9">INDEX(增益!$A$2:$Q$40,VQ9,MATCH(WN$8,增益!$B$1:$Q$1,0)+1)*$AI9</f>
        <v>0</v>
      </c>
      <c r="WO9" s="2" cm="1">
        <f t="array" ref="WO9">INDEX(增益!$A$2:$Q$40,VQ9,MATCH(WO$8,增益!$B$1:$Q$1,0)+1)*$AI9</f>
        <v>0</v>
      </c>
    </row>
    <row r="10" spans="1:616">
      <c r="S10" s="2" t="b">
        <f>IFERROR(MATCH("该死的邂逅",云配队!$G$4:$G$7,0),0)&gt;0</f>
        <v>0</v>
      </c>
      <c r="T10" s="2" cm="1">
        <f t="array" ref="T10:T13">COUNTIF($F$4:$F$7,$F$4:$F$7)</f>
        <v>2</v>
      </c>
      <c r="U10" s="5"/>
      <c r="V10" s="2">
        <f>云配队!H9*0.4</f>
        <v>28</v>
      </c>
      <c r="W10" s="2">
        <f>VLOOKUP(FLOOR($A$4/5,1),中间!$T$13:$X$28,5,FALSE)</f>
        <v>2772</v>
      </c>
      <c r="X10" s="2">
        <f>V10*W10*$B$4/($B$4+$C$4)</f>
        <v>38593.591160221</v>
      </c>
      <c r="Y10" s="2">
        <f>$X$10*(1+V4/360)</f>
        <v>38593.591160221</v>
      </c>
      <c r="Z10" s="2" cm="1">
        <f t="array" ref="Z10">SUM(Y10:Y13)*87.5%+IFERROR(INDEX(Y10:Y13,MATCH("达芙蒂尔",D4:D7,0)),0)</f>
        <v>135077.569060774</v>
      </c>
      <c r="AB10" s="2">
        <f>VLOOKUP(FLOOR($A$4/5,1),中间!$T$13:$W$28,2,FALSE)</f>
        <v>9000</v>
      </c>
      <c r="AC10" s="2">
        <f>VLOOKUP(FLOOR($A$4/5,1),中间!$T$13:$W$28,3,FALSE)</f>
        <v>2700</v>
      </c>
      <c r="AD10" s="2">
        <f>VLOOKUP(FLOOR($A$4/5,1),中间!$T$13:$W$28,4,FALSE)</f>
        <v>45000</v>
      </c>
      <c r="AE10" s="2">
        <f>(1+IF(天赋!B7,天赋!D7,0))*((1+IF(天赋!B8,天赋!C8,0)))-1</f>
        <v>3</v>
      </c>
      <c r="AF10" s="2">
        <f>(1+IF(天赋!B11,天赋!E11,0)-1)</f>
        <v>0</v>
      </c>
      <c r="AI10" s="2">
        <f>IF(云配队!H15&gt;0,云配队!H15,1)</f>
        <v>0.5</v>
      </c>
      <c r="AK10" s="2" cm="1">
        <f t="array" ref="AK10">INDEX(云配队!$J15:$AC15,1,AK$1)</f>
        <v>0</v>
      </c>
      <c r="AL10" s="2">
        <f>IFERROR(MATCH(AK10,增益!$A$2:$A$40,FALSE),1)</f>
        <v>1</v>
      </c>
      <c r="AM10" s="2" cm="1">
        <f t="array" ref="AM10">INDEX(增益!$A$2:$Q$40,AL10,MATCH(AM$8,增益!$B$1:$Q$1,0)+1)*$AI10</f>
        <v>0</v>
      </c>
      <c r="AN10" s="2" cm="1">
        <f t="array" ref="AN10">INDEX(增益!$A$2:$Q$40,AL10,MATCH(AN$8,增益!$B$1:$Q$1,0)+1)*$AI10</f>
        <v>0</v>
      </c>
      <c r="AO10" s="2" cm="1">
        <f t="array" ref="AO10">INDEX(增益!$A$2:$Q$40,AL10,MATCH(AO$8,增益!$B$1:$Q$1,0)+1)*$AI10</f>
        <v>0</v>
      </c>
      <c r="AP10" s="2" cm="1">
        <f t="array" ref="AP10">INDEX(增益!$A$2:$Q$40,AL10,MATCH(AP$8,增益!$B$1:$Q$1,0)+1)*$AI10</f>
        <v>0</v>
      </c>
      <c r="AQ10" s="2" cm="1">
        <f t="array" ref="AQ10">INDEX(增益!$A$2:$Q$40,AL10,MATCH(AQ$8,增益!$B$1:$Q$1,0)+1)*$AI10</f>
        <v>0</v>
      </c>
      <c r="AR10" s="2" cm="1">
        <f t="array" ref="AR10">INDEX(增益!$A$2:$Q$40,AL10,MATCH(AR$8,增益!$B$1:$Q$1,0)+1)*$AI10</f>
        <v>0</v>
      </c>
      <c r="AS10" s="2" cm="1">
        <f t="array" ref="AS10">INDEX(增益!$A$2:$Q$40,AL10,MATCH(AS$8,增益!$B$1:$Q$1,0)+1)*$AI10</f>
        <v>0</v>
      </c>
      <c r="AT10" s="2" cm="1">
        <f t="array" ref="AT10">INDEX(增益!$A$2:$Q$40,AL10,MATCH(AT$8,增益!$B$1:$Q$1,0)+1)*$AI10</f>
        <v>0</v>
      </c>
      <c r="AU10" s="2" cm="1">
        <f t="array" ref="AU10">INDEX(增益!$A$2:$Q$40,AL10,MATCH(AU$8,增益!$B$1:$Q$1,0)+1)*$AI10</f>
        <v>0</v>
      </c>
      <c r="AV10" s="2" cm="1">
        <f t="array" ref="AV10">INDEX(增益!$A$2:$Q$40,AL10,MATCH(AV$8,增益!$B$1:$Q$1,0)+1)*$AI10</f>
        <v>0</v>
      </c>
      <c r="AW10" s="2" cm="1">
        <f t="array" ref="AW10">INDEX(动作!$O$3:$O$113,AL5)</f>
        <v>0</v>
      </c>
      <c r="AX10" s="2" cm="1">
        <f t="array" ref="AX10">INDEX(动作!$P$3:$P$113,AL5)</f>
        <v>0</v>
      </c>
      <c r="AY10" s="2" cm="1">
        <f t="array" ref="AY10">INDEX(动作!$Q$3:$Q$113,AL5)</f>
        <v>0</v>
      </c>
      <c r="AZ10" s="2" cm="1">
        <f t="array" ref="AZ10">INDEX(动作!$R$3:$R$113,AL5)</f>
        <v>0</v>
      </c>
      <c r="BA10" s="2" cm="1">
        <f t="array" ref="BA10">INDEX(动作!$S$3:$S$113,AL5)</f>
        <v>0</v>
      </c>
      <c r="BC10" s="2" cm="1">
        <f t="array" ref="BC10">INDEX(增益!$A$2:$Q$40,AL10,MATCH(BC$8,增益!$B$1:$Q$1,0)+1)*$AI10</f>
        <v>0</v>
      </c>
      <c r="BD10" s="2" cm="1">
        <f t="array" ref="BD10">INDEX(增益!$A$2:$Q$40,AL10,MATCH(BD$8,增益!$B$1:$Q$1,0)+1)*$AI10</f>
        <v>0</v>
      </c>
      <c r="BE10" s="2" cm="1">
        <f t="array" ref="BE10">INDEX(增益!$A$2:$Q$40,AL10,MATCH(BE$8,增益!$B$1:$Q$1,0)+1)*$AI10</f>
        <v>0</v>
      </c>
      <c r="BG10" s="2" cm="1">
        <f t="array" ref="BG10">INDEX(增益!$A$2:$Q$40,AL10,MATCH(BG$8,增益!$B$1:$Q$1,0)+1)*$AI10</f>
        <v>0</v>
      </c>
      <c r="BI10" s="2" cm="1">
        <f t="array" ref="BI10">INDEX(增益!$A$2:$Q$40,AL10,MATCH(BI$8,增益!$B$1:$Q$1,0)+1)*$AI10</f>
        <v>0</v>
      </c>
      <c r="BJ10" s="2" cm="1">
        <f t="array" ref="BJ10">INDEX(增益!$A$2:$Q$40,AL10,MATCH(BJ$8,增益!$B$1:$Q$1,0)+1)*$AI10</f>
        <v>0</v>
      </c>
      <c r="BN10" s="2" cm="1">
        <f t="array" ref="BN10">INDEX(云配队!$J15:$AC15,1,BN$1)</f>
        <v>0</v>
      </c>
      <c r="BO10" s="2">
        <f>IFERROR(MATCH(BN10,增益!$A$2:$A$40,FALSE),1)</f>
        <v>1</v>
      </c>
      <c r="BP10" s="2" cm="1">
        <f t="array" ref="BP10">INDEX(增益!$A$2:$Q$40,BO10,MATCH(BP$8,增益!$B$1:$Q$1,0)+1)*$AI10</f>
        <v>0</v>
      </c>
      <c r="BQ10" s="2" cm="1">
        <f t="array" ref="BQ10">INDEX(增益!$A$2:$Q$40,BO10,MATCH(BQ$8,增益!$B$1:$Q$1,0)+1)*$AI10</f>
        <v>0</v>
      </c>
      <c r="BR10" s="2" cm="1">
        <f t="array" ref="BR10">INDEX(增益!$A$2:$Q$40,BO10,MATCH(BR$8,增益!$B$1:$Q$1,0)+1)*$AI10</f>
        <v>0</v>
      </c>
      <c r="BS10" s="2" cm="1">
        <f t="array" ref="BS10">INDEX(增益!$A$2:$Q$40,BO10,MATCH(BS$8,增益!$B$1:$Q$1,0)+1)*$AI10</f>
        <v>0</v>
      </c>
      <c r="BT10" s="2" cm="1">
        <f t="array" ref="BT10">INDEX(增益!$A$2:$Q$40,BO10,MATCH(BT$8,增益!$B$1:$Q$1,0)+1)*$AI10</f>
        <v>0</v>
      </c>
      <c r="BU10" s="2" cm="1">
        <f t="array" ref="BU10">INDEX(增益!$A$2:$Q$40,BO10,MATCH(BU$8,增益!$B$1:$Q$1,0)+1)*$AI10</f>
        <v>0</v>
      </c>
      <c r="BV10" s="2" cm="1">
        <f t="array" ref="BV10">INDEX(增益!$A$2:$Q$40,BO10,MATCH(BV$8,增益!$B$1:$Q$1,0)+1)*$AI10</f>
        <v>0</v>
      </c>
      <c r="BW10" s="2" cm="1">
        <f t="array" ref="BW10">INDEX(增益!$A$2:$Q$40,BO10,MATCH(BW$8,增益!$B$1:$Q$1,0)+1)*$AI10</f>
        <v>0</v>
      </c>
      <c r="BX10" s="2" cm="1">
        <f t="array" ref="BX10">INDEX(增益!$A$2:$Q$40,BO10,MATCH(BX$8,增益!$B$1:$Q$1,0)+1)*$AI10</f>
        <v>0</v>
      </c>
      <c r="BY10" s="2" cm="1">
        <f t="array" ref="BY10">INDEX(增益!$A$2:$Q$40,BO10,MATCH(BY$8,增益!$B$1:$Q$1,0)+1)*$AI10</f>
        <v>0</v>
      </c>
      <c r="BZ10" s="2" cm="1">
        <f t="array" ref="BZ10">INDEX(动作!$O$3:$O$113,BO5)</f>
        <v>0.5</v>
      </c>
      <c r="CA10" s="2" cm="1">
        <f t="array" ref="CA10">INDEX(动作!$P$3:$P$113,BO5)</f>
        <v>0</v>
      </c>
      <c r="CB10" s="2" cm="1">
        <f t="array" ref="CB10">INDEX(动作!$Q$3:$Q$113,BO5)</f>
        <v>0</v>
      </c>
      <c r="CC10" s="2" cm="1">
        <f t="array" ref="CC10">INDEX(动作!$R$3:$R$113,BO5)</f>
        <v>0</v>
      </c>
      <c r="CD10" s="2" cm="1">
        <f t="array" ref="CD10">INDEX(动作!$S$3:$S$113,BO5)</f>
        <v>0</v>
      </c>
      <c r="CF10" s="2" cm="1">
        <f t="array" ref="CF10">INDEX(增益!$A$2:$Q$40,BO10,MATCH(CF$8,增益!$B$1:$Q$1,0)+1)*$AI10</f>
        <v>0</v>
      </c>
      <c r="CG10" s="2" cm="1">
        <f t="array" ref="CG10">INDEX(增益!$A$2:$Q$40,BO10,MATCH(CG$8,增益!$B$1:$Q$1,0)+1)*$AI10</f>
        <v>0</v>
      </c>
      <c r="CH10" s="2" cm="1">
        <f t="array" ref="CH10">INDEX(增益!$A$2:$Q$40,BO10,MATCH(CH$8,增益!$B$1:$Q$1,0)+1)*$AI10</f>
        <v>0</v>
      </c>
      <c r="CJ10" s="2" cm="1">
        <f t="array" ref="CJ10">INDEX(增益!$A$2:$Q$40,BO10,MATCH(CJ$8,增益!$B$1:$Q$1,0)+1)*$AI10</f>
        <v>0</v>
      </c>
      <c r="CL10" s="2" cm="1">
        <f t="array" ref="CL10">INDEX(增益!$A$2:$Q$40,BO10,MATCH(CL$8,增益!$B$1:$Q$1,0)+1)*$AI10</f>
        <v>0</v>
      </c>
      <c r="CM10" s="2" cm="1">
        <f t="array" ref="CM10">INDEX(增益!$A$2:$Q$40,BO10,MATCH(CM$8,增益!$B$1:$Q$1,0)+1)*$AI10</f>
        <v>0</v>
      </c>
      <c r="CQ10" s="2" cm="1">
        <f t="array" ref="CQ10">INDEX(云配队!$J15:$AC15,1,CQ$1)</f>
        <v>0</v>
      </c>
      <c r="CR10" s="2">
        <f>IFERROR(MATCH(CQ10,增益!$A$2:$A$40,FALSE),1)</f>
        <v>1</v>
      </c>
      <c r="CS10" s="2" cm="1">
        <f t="array" ref="CS10">INDEX(增益!$A$2:$Q$40,CR10,MATCH(CS$8,增益!$B$1:$Q$1,0)+1)*$AI10</f>
        <v>0</v>
      </c>
      <c r="CT10" s="2" cm="1">
        <f t="array" ref="CT10">INDEX(增益!$A$2:$Q$40,CR10,MATCH(CT$8,增益!$B$1:$Q$1,0)+1)*$AI10</f>
        <v>0</v>
      </c>
      <c r="CU10" s="2" cm="1">
        <f t="array" ref="CU10">INDEX(增益!$A$2:$Q$40,CR10,MATCH(CU$8,增益!$B$1:$Q$1,0)+1)*$AI10</f>
        <v>0</v>
      </c>
      <c r="CV10" s="2" cm="1">
        <f t="array" ref="CV10">INDEX(增益!$A$2:$Q$40,CR10,MATCH(CV$8,增益!$B$1:$Q$1,0)+1)*$AI10</f>
        <v>0</v>
      </c>
      <c r="CW10" s="2" cm="1">
        <f t="array" ref="CW10">INDEX(增益!$A$2:$Q$40,CR10,MATCH(CW$8,增益!$B$1:$Q$1,0)+1)*$AI10</f>
        <v>0</v>
      </c>
      <c r="CX10" s="2" cm="1">
        <f t="array" ref="CX10">INDEX(增益!$A$2:$Q$40,CR10,MATCH(CX$8,增益!$B$1:$Q$1,0)+1)*$AI10</f>
        <v>0</v>
      </c>
      <c r="CY10" s="2" cm="1">
        <f t="array" ref="CY10">INDEX(增益!$A$2:$Q$40,CR10,MATCH(CY$8,增益!$B$1:$Q$1,0)+1)*$AI10</f>
        <v>0</v>
      </c>
      <c r="CZ10" s="2" cm="1">
        <f t="array" ref="CZ10">INDEX(增益!$A$2:$Q$40,CR10,MATCH(CZ$8,增益!$B$1:$Q$1,0)+1)*$AI10</f>
        <v>0</v>
      </c>
      <c r="DA10" s="2" cm="1">
        <f t="array" ref="DA10">INDEX(增益!$A$2:$Q$40,CR10,MATCH(DA$8,增益!$B$1:$Q$1,0)+1)*$AI10</f>
        <v>0</v>
      </c>
      <c r="DB10" s="2" cm="1">
        <f t="array" ref="DB10">INDEX(增益!$A$2:$Q$40,CR10,MATCH(DB$8,增益!$B$1:$Q$1,0)+1)*$AI10</f>
        <v>0</v>
      </c>
      <c r="DC10" s="2" cm="1">
        <f t="array" ref="DC10">INDEX(动作!$O$3:$O$113,CR5)</f>
        <v>0</v>
      </c>
      <c r="DD10" s="2" cm="1">
        <f t="array" ref="DD10">INDEX(动作!$P$3:$P$113,CR5)</f>
        <v>0</v>
      </c>
      <c r="DE10" s="2" cm="1">
        <f t="array" ref="DE10">INDEX(动作!$Q$3:$Q$113,CR5)</f>
        <v>0</v>
      </c>
      <c r="DF10" s="2" cm="1">
        <f t="array" ref="DF10">INDEX(动作!$R$3:$R$113,CR5)</f>
        <v>0</v>
      </c>
      <c r="DG10" s="2" cm="1">
        <f t="array" ref="DG10">INDEX(动作!$S$3:$S$113,CR5)</f>
        <v>0</v>
      </c>
      <c r="DI10" s="2" cm="1">
        <f t="array" ref="DI10">INDEX(增益!$A$2:$Q$40,CR10,MATCH(DI$8,增益!$B$1:$Q$1,0)+1)*$AI10</f>
        <v>0</v>
      </c>
      <c r="DJ10" s="2" cm="1">
        <f t="array" ref="DJ10">INDEX(增益!$A$2:$Q$40,CR10,MATCH(DJ$8,增益!$B$1:$Q$1,0)+1)*$AI10</f>
        <v>0</v>
      </c>
      <c r="DK10" s="2" cm="1">
        <f t="array" ref="DK10">INDEX(增益!$A$2:$Q$40,CR10,MATCH(DK$8,增益!$B$1:$Q$1,0)+1)*$AI10</f>
        <v>0</v>
      </c>
      <c r="DM10" s="2" cm="1">
        <f t="array" ref="DM10">INDEX(增益!$A$2:$Q$40,CR10,MATCH(DM$8,增益!$B$1:$Q$1,0)+1)*$AI10</f>
        <v>0</v>
      </c>
      <c r="DO10" s="2" cm="1">
        <f t="array" ref="DO10">INDEX(增益!$A$2:$Q$40,CR10,MATCH(DO$8,增益!$B$1:$Q$1,0)+1)*$AI10</f>
        <v>0</v>
      </c>
      <c r="DP10" s="2" cm="1">
        <f t="array" ref="DP10">INDEX(增益!$A$2:$Q$40,CR10,MATCH(DP$8,增益!$B$1:$Q$1,0)+1)*$AI10</f>
        <v>0</v>
      </c>
      <c r="DT10" s="2" cm="1">
        <f t="array" ref="DT10">INDEX(云配队!$J15:$AC15,1,DT$1)</f>
        <v>0</v>
      </c>
      <c r="DU10" s="2">
        <f>IFERROR(MATCH(DT10,增益!$A$2:$A$40,FALSE),1)</f>
        <v>1</v>
      </c>
      <c r="DV10" s="2" cm="1">
        <f t="array" ref="DV10">INDEX(增益!$A$2:$Q$40,DU10,MATCH(DV$8,增益!$B$1:$Q$1,0)+1)*$AI10</f>
        <v>0</v>
      </c>
      <c r="DW10" s="2" cm="1">
        <f t="array" ref="DW10">INDEX(增益!$A$2:$Q$40,DU10,MATCH(DW$8,增益!$B$1:$Q$1,0)+1)*$AI10</f>
        <v>0</v>
      </c>
      <c r="DX10" s="2" cm="1">
        <f t="array" ref="DX10">INDEX(增益!$A$2:$Q$40,DU10,MATCH(DX$8,增益!$B$1:$Q$1,0)+1)*$AI10</f>
        <v>0</v>
      </c>
      <c r="DY10" s="2" cm="1">
        <f t="array" ref="DY10">INDEX(增益!$A$2:$Q$40,DU10,MATCH(DY$8,增益!$B$1:$Q$1,0)+1)*$AI10</f>
        <v>0</v>
      </c>
      <c r="DZ10" s="2" cm="1">
        <f t="array" ref="DZ10">INDEX(增益!$A$2:$Q$40,DU10,MATCH(DZ$8,增益!$B$1:$Q$1,0)+1)*$AI10</f>
        <v>0</v>
      </c>
      <c r="EA10" s="2" cm="1">
        <f t="array" ref="EA10">INDEX(增益!$A$2:$Q$40,DU10,MATCH(EA$8,增益!$B$1:$Q$1,0)+1)*$AI10</f>
        <v>0</v>
      </c>
      <c r="EB10" s="2" cm="1">
        <f t="array" ref="EB10">INDEX(增益!$A$2:$Q$40,DU10,MATCH(EB$8,增益!$B$1:$Q$1,0)+1)*$AI10</f>
        <v>0</v>
      </c>
      <c r="EC10" s="2" cm="1">
        <f t="array" ref="EC10">INDEX(增益!$A$2:$Q$40,DU10,MATCH(EC$8,增益!$B$1:$Q$1,0)+1)*$AI10</f>
        <v>0</v>
      </c>
      <c r="ED10" s="2" cm="1">
        <f t="array" ref="ED10">INDEX(增益!$A$2:$Q$40,DU10,MATCH(ED$8,增益!$B$1:$Q$1,0)+1)*$AI10</f>
        <v>0</v>
      </c>
      <c r="EE10" s="2" cm="1">
        <f t="array" ref="EE10">INDEX(增益!$A$2:$Q$40,DU10,MATCH(EE$8,增益!$B$1:$Q$1,0)+1)*$AI10</f>
        <v>0</v>
      </c>
      <c r="EF10" s="2" cm="1">
        <f t="array" ref="EF10">INDEX(动作!$O$3:$O$113,DU5)</f>
        <v>0</v>
      </c>
      <c r="EG10" s="2" cm="1">
        <f t="array" ref="EG10">INDEX(动作!$P$3:$P$113,DU5)</f>
        <v>0</v>
      </c>
      <c r="EH10" s="2" cm="1">
        <f t="array" ref="EH10">INDEX(动作!$Q$3:$Q$113,DU5)</f>
        <v>0</v>
      </c>
      <c r="EI10" s="2" cm="1">
        <f t="array" ref="EI10">INDEX(动作!$R$3:$R$113,DU5)</f>
        <v>0</v>
      </c>
      <c r="EJ10" s="2" cm="1">
        <f t="array" ref="EJ10">INDEX(动作!$S$3:$S$113,DU5)</f>
        <v>0</v>
      </c>
      <c r="EL10" s="2" cm="1">
        <f t="array" ref="EL10">INDEX(增益!$A$2:$Q$40,DU10,MATCH(EL$8,增益!$B$1:$Q$1,0)+1)*$AI10</f>
        <v>0</v>
      </c>
      <c r="EM10" s="2" cm="1">
        <f t="array" ref="EM10">INDEX(增益!$A$2:$Q$40,DU10,MATCH(EM$8,增益!$B$1:$Q$1,0)+1)*$AI10</f>
        <v>0</v>
      </c>
      <c r="EN10" s="2" cm="1">
        <f t="array" ref="EN10">INDEX(增益!$A$2:$Q$40,DU10,MATCH(EN$8,增益!$B$1:$Q$1,0)+1)*$AI10</f>
        <v>0</v>
      </c>
      <c r="EP10" s="2" cm="1">
        <f t="array" ref="EP10">INDEX(增益!$A$2:$Q$40,DU10,MATCH(EP$8,增益!$B$1:$Q$1,0)+1)*$AI10</f>
        <v>0</v>
      </c>
      <c r="ER10" s="2" cm="1">
        <f t="array" ref="ER10">INDEX(增益!$A$2:$Q$40,DU10,MATCH(ER$8,增益!$B$1:$Q$1,0)+1)*$AI10</f>
        <v>0</v>
      </c>
      <c r="ES10" s="2" cm="1">
        <f t="array" ref="ES10">INDEX(增益!$A$2:$Q$40,DU10,MATCH(ES$8,增益!$B$1:$Q$1,0)+1)*$AI10</f>
        <v>0</v>
      </c>
      <c r="EW10" s="2" cm="1">
        <f t="array" ref="EW10">INDEX(云配队!$J15:$AC15,1,EW$1)</f>
        <v>0</v>
      </c>
      <c r="EX10" s="2">
        <f>IFERROR(MATCH(EW10,增益!$A$2:$A$40,FALSE),1)</f>
        <v>1</v>
      </c>
      <c r="EY10" s="2" cm="1">
        <f t="array" ref="EY10">INDEX(增益!$A$2:$Q$40,EX10,MATCH(EY$8,增益!$B$1:$Q$1,0)+1)*$AI10</f>
        <v>0</v>
      </c>
      <c r="EZ10" s="2" cm="1">
        <f t="array" ref="EZ10">INDEX(增益!$A$2:$Q$40,EX10,MATCH(EZ$8,增益!$B$1:$Q$1,0)+1)*$AI10</f>
        <v>0</v>
      </c>
      <c r="FA10" s="2" cm="1">
        <f t="array" ref="FA10">INDEX(增益!$A$2:$Q$40,EX10,MATCH(FA$8,增益!$B$1:$Q$1,0)+1)*$AI10</f>
        <v>0</v>
      </c>
      <c r="FB10" s="2" cm="1">
        <f t="array" ref="FB10">INDEX(增益!$A$2:$Q$40,EX10,MATCH(FB$8,增益!$B$1:$Q$1,0)+1)*$AI10</f>
        <v>0</v>
      </c>
      <c r="FC10" s="2" cm="1">
        <f t="array" ref="FC10">INDEX(增益!$A$2:$Q$40,EX10,MATCH(FC$8,增益!$B$1:$Q$1,0)+1)*$AI10</f>
        <v>0</v>
      </c>
      <c r="FD10" s="2" cm="1">
        <f t="array" ref="FD10">INDEX(增益!$A$2:$Q$40,EX10,MATCH(FD$8,增益!$B$1:$Q$1,0)+1)*$AI10</f>
        <v>0</v>
      </c>
      <c r="FE10" s="2" cm="1">
        <f t="array" ref="FE10">INDEX(增益!$A$2:$Q$40,EX10,MATCH(FE$8,增益!$B$1:$Q$1,0)+1)*$AI10</f>
        <v>0</v>
      </c>
      <c r="FF10" s="2" cm="1">
        <f t="array" ref="FF10">INDEX(增益!$A$2:$Q$40,EX10,MATCH(FF$8,增益!$B$1:$Q$1,0)+1)*$AI10</f>
        <v>0</v>
      </c>
      <c r="FG10" s="2" cm="1">
        <f t="array" ref="FG10">INDEX(增益!$A$2:$Q$40,EX10,MATCH(FG$8,增益!$B$1:$Q$1,0)+1)*$AI10</f>
        <v>0</v>
      </c>
      <c r="FH10" s="2" cm="1">
        <f t="array" ref="FH10">INDEX(增益!$A$2:$Q$40,EX10,MATCH(FH$8,增益!$B$1:$Q$1,0)+1)*$AI10</f>
        <v>0</v>
      </c>
      <c r="FI10" s="2" cm="1">
        <f t="array" ref="FI10">INDEX(动作!$O$3:$O$113,EX5)</f>
        <v>0</v>
      </c>
      <c r="FJ10" s="2" cm="1">
        <f t="array" ref="FJ10">INDEX(动作!$P$3:$P$113,EX5)</f>
        <v>0</v>
      </c>
      <c r="FK10" s="2" cm="1">
        <f t="array" ref="FK10">INDEX(动作!$Q$3:$Q$113,EX5)</f>
        <v>0</v>
      </c>
      <c r="FL10" s="2" cm="1">
        <f t="array" ref="FL10">INDEX(动作!$R$3:$R$113,EX5)</f>
        <v>0</v>
      </c>
      <c r="FM10" s="2" cm="1">
        <f t="array" ref="FM10">INDEX(动作!$S$3:$S$113,EX5)</f>
        <v>0</v>
      </c>
      <c r="FO10" s="2" cm="1">
        <f t="array" ref="FO10">INDEX(增益!$A$2:$Q$40,EX10,MATCH(FO$8,增益!$B$1:$Q$1,0)+1)*$AI10</f>
        <v>0</v>
      </c>
      <c r="FP10" s="2" cm="1">
        <f t="array" ref="FP10">INDEX(增益!$A$2:$Q$40,EX10,MATCH(FP$8,增益!$B$1:$Q$1,0)+1)*$AI10</f>
        <v>0</v>
      </c>
      <c r="FQ10" s="2" cm="1">
        <f t="array" ref="FQ10">INDEX(增益!$A$2:$Q$40,EX10,MATCH(FQ$8,增益!$B$1:$Q$1,0)+1)*$AI10</f>
        <v>0</v>
      </c>
      <c r="FS10" s="2" cm="1">
        <f t="array" ref="FS10">INDEX(增益!$A$2:$Q$40,EX10,MATCH(FS$8,增益!$B$1:$Q$1,0)+1)*$AI10</f>
        <v>0</v>
      </c>
      <c r="FU10" s="2" cm="1">
        <f t="array" ref="FU10">INDEX(增益!$A$2:$Q$40,EX10,MATCH(FU$8,增益!$B$1:$Q$1,0)+1)*$AI10</f>
        <v>0</v>
      </c>
      <c r="FV10" s="2" cm="1">
        <f t="array" ref="FV10">INDEX(增益!$A$2:$Q$40,EX10,MATCH(FV$8,增益!$B$1:$Q$1,0)+1)*$AI10</f>
        <v>0</v>
      </c>
      <c r="FZ10" s="2" cm="1">
        <f t="array" ref="FZ10">INDEX(云配队!$J15:$AC15,1,FZ$1)</f>
        <v>0</v>
      </c>
      <c r="GA10" s="2">
        <f>IFERROR(MATCH(FZ10,增益!$A$2:$A$40,FALSE),1)</f>
        <v>1</v>
      </c>
      <c r="GB10" s="2" cm="1">
        <f t="array" ref="GB10">INDEX(增益!$A$2:$Q$40,GA10,MATCH(GB$8,增益!$B$1:$Q$1,0)+1)*$AI10</f>
        <v>0</v>
      </c>
      <c r="GC10" s="2" cm="1">
        <f t="array" ref="GC10">INDEX(增益!$A$2:$Q$40,GA10,MATCH(GC$8,增益!$B$1:$Q$1,0)+1)*$AI10</f>
        <v>0</v>
      </c>
      <c r="GD10" s="2" cm="1">
        <f t="array" ref="GD10">INDEX(增益!$A$2:$Q$40,GA10,MATCH(GD$8,增益!$B$1:$Q$1,0)+1)*$AI10</f>
        <v>0</v>
      </c>
      <c r="GE10" s="2" cm="1">
        <f t="array" ref="GE10">INDEX(增益!$A$2:$Q$40,GA10,MATCH(GE$8,增益!$B$1:$Q$1,0)+1)*$AI10</f>
        <v>0</v>
      </c>
      <c r="GF10" s="2" cm="1">
        <f t="array" ref="GF10">INDEX(增益!$A$2:$Q$40,GA10,MATCH(GF$8,增益!$B$1:$Q$1,0)+1)*$AI10</f>
        <v>0</v>
      </c>
      <c r="GG10" s="2" cm="1">
        <f t="array" ref="GG10">INDEX(增益!$A$2:$Q$40,GA10,MATCH(GG$8,增益!$B$1:$Q$1,0)+1)*$AI10</f>
        <v>0</v>
      </c>
      <c r="GH10" s="2" cm="1">
        <f t="array" ref="GH10">INDEX(增益!$A$2:$Q$40,GA10,MATCH(GH$8,增益!$B$1:$Q$1,0)+1)*$AI10</f>
        <v>0</v>
      </c>
      <c r="GI10" s="2" cm="1">
        <f t="array" ref="GI10">INDEX(增益!$A$2:$Q$40,GA10,MATCH(GI$8,增益!$B$1:$Q$1,0)+1)*$AI10</f>
        <v>0</v>
      </c>
      <c r="GJ10" s="2" cm="1">
        <f t="array" ref="GJ10">INDEX(增益!$A$2:$Q$40,GA10,MATCH(GJ$8,增益!$B$1:$Q$1,0)+1)*$AI10</f>
        <v>0</v>
      </c>
      <c r="GK10" s="2" cm="1">
        <f t="array" ref="GK10">INDEX(增益!$A$2:$Q$40,GA10,MATCH(GK$8,增益!$B$1:$Q$1,0)+1)*$AI10</f>
        <v>0</v>
      </c>
      <c r="GL10" s="2" cm="1">
        <f t="array" ref="GL10">INDEX(动作!$O$3:$O$113,GA5)</f>
        <v>0</v>
      </c>
      <c r="GM10" s="2" cm="1">
        <f t="array" ref="GM10">INDEX(动作!$P$3:$P$113,GA5)</f>
        <v>0</v>
      </c>
      <c r="GN10" s="2" cm="1">
        <f t="array" ref="GN10">INDEX(动作!$Q$3:$Q$113,GA5)</f>
        <v>0</v>
      </c>
      <c r="GO10" s="2" cm="1">
        <f t="array" ref="GO10">INDEX(动作!$R$3:$R$113,GA5)</f>
        <v>0</v>
      </c>
      <c r="GP10" s="2" cm="1">
        <f t="array" ref="GP10">INDEX(动作!$S$3:$S$113,GA5)</f>
        <v>0</v>
      </c>
      <c r="GR10" s="2" cm="1">
        <f t="array" ref="GR10">INDEX(增益!$A$2:$Q$40,GA10,MATCH(GR$8,增益!$B$1:$Q$1,0)+1)*$AI10</f>
        <v>0</v>
      </c>
      <c r="GS10" s="2" cm="1">
        <f t="array" ref="GS10">INDEX(增益!$A$2:$Q$40,GA10,MATCH(GS$8,增益!$B$1:$Q$1,0)+1)*$AI10</f>
        <v>0</v>
      </c>
      <c r="GT10" s="2" cm="1">
        <f t="array" ref="GT10">INDEX(增益!$A$2:$Q$40,GA10,MATCH(GT$8,增益!$B$1:$Q$1,0)+1)*$AI10</f>
        <v>0</v>
      </c>
      <c r="GV10" s="2" cm="1">
        <f t="array" ref="GV10">INDEX(增益!$A$2:$Q$40,GA10,MATCH(GV$8,增益!$B$1:$Q$1,0)+1)*$AI10</f>
        <v>0</v>
      </c>
      <c r="GX10" s="2" cm="1">
        <f t="array" ref="GX10">INDEX(增益!$A$2:$Q$40,GA10,MATCH(GX$8,增益!$B$1:$Q$1,0)+1)*$AI10</f>
        <v>0</v>
      </c>
      <c r="GY10" s="2" cm="1">
        <f t="array" ref="GY10">INDEX(增益!$A$2:$Q$40,GA10,MATCH(GY$8,增益!$B$1:$Q$1,0)+1)*$AI10</f>
        <v>0</v>
      </c>
      <c r="HC10" s="2" cm="1">
        <f t="array" ref="HC10">INDEX(云配队!$J15:$AC15,1,HC$1)</f>
        <v>0</v>
      </c>
      <c r="HD10" s="2">
        <f>IFERROR(MATCH(HC10,增益!$A$2:$A$40,FALSE),1)</f>
        <v>1</v>
      </c>
      <c r="HE10" s="2" cm="1">
        <f t="array" ref="HE10">INDEX(增益!$A$2:$Q$40,HD10,MATCH(HE$8,增益!$B$1:$Q$1,0)+1)*$AI10</f>
        <v>0</v>
      </c>
      <c r="HF10" s="2" cm="1">
        <f t="array" ref="HF10">INDEX(增益!$A$2:$Q$40,HD10,MATCH(HF$8,增益!$B$1:$Q$1,0)+1)*$AI10</f>
        <v>0</v>
      </c>
      <c r="HG10" s="2" cm="1">
        <f t="array" ref="HG10">INDEX(增益!$A$2:$Q$40,HD10,MATCH(HG$8,增益!$B$1:$Q$1,0)+1)*$AI10</f>
        <v>0</v>
      </c>
      <c r="HH10" s="2" cm="1">
        <f t="array" ref="HH10">INDEX(增益!$A$2:$Q$40,HD10,MATCH(HH$8,增益!$B$1:$Q$1,0)+1)*$AI10</f>
        <v>0</v>
      </c>
      <c r="HI10" s="2" cm="1">
        <f t="array" ref="HI10">INDEX(增益!$A$2:$Q$40,HD10,MATCH(HI$8,增益!$B$1:$Q$1,0)+1)*$AI10</f>
        <v>0</v>
      </c>
      <c r="HJ10" s="2" cm="1">
        <f t="array" ref="HJ10">INDEX(增益!$A$2:$Q$40,HD10,MATCH(HJ$8,增益!$B$1:$Q$1,0)+1)*$AI10</f>
        <v>0</v>
      </c>
      <c r="HK10" s="2" cm="1">
        <f t="array" ref="HK10">INDEX(增益!$A$2:$Q$40,HD10,MATCH(HK$8,增益!$B$1:$Q$1,0)+1)*$AI10</f>
        <v>0</v>
      </c>
      <c r="HL10" s="2" cm="1">
        <f t="array" ref="HL10">INDEX(增益!$A$2:$Q$40,HD10,MATCH(HL$8,增益!$B$1:$Q$1,0)+1)*$AI10</f>
        <v>0</v>
      </c>
      <c r="HM10" s="2" cm="1">
        <f t="array" ref="HM10">INDEX(增益!$A$2:$Q$40,HD10,MATCH(HM$8,增益!$B$1:$Q$1,0)+1)*$AI10</f>
        <v>0</v>
      </c>
      <c r="HN10" s="2" cm="1">
        <f t="array" ref="HN10">INDEX(增益!$A$2:$Q$40,HD10,MATCH(HN$8,增益!$B$1:$Q$1,0)+1)*$AI10</f>
        <v>0</v>
      </c>
      <c r="HO10" s="2" cm="1">
        <f t="array" ref="HO10">INDEX(动作!$O$3:$O$113,HD5)</f>
        <v>0</v>
      </c>
      <c r="HP10" s="2" cm="1">
        <f t="array" ref="HP10">INDEX(动作!$P$3:$P$113,HD5)</f>
        <v>0</v>
      </c>
      <c r="HQ10" s="2" cm="1">
        <f t="array" ref="HQ10">INDEX(动作!$Q$3:$Q$113,HD5)</f>
        <v>0</v>
      </c>
      <c r="HR10" s="2" cm="1">
        <f t="array" ref="HR10">INDEX(动作!$R$3:$R$113,HD5)</f>
        <v>0</v>
      </c>
      <c r="HS10" s="2" cm="1">
        <f t="array" ref="HS10">INDEX(动作!$S$3:$S$113,HD5)</f>
        <v>0</v>
      </c>
      <c r="HU10" s="2" cm="1">
        <f t="array" ref="HU10">INDEX(增益!$A$2:$Q$40,HD10,MATCH(HU$8,增益!$B$1:$Q$1,0)+1)*$AI10</f>
        <v>0</v>
      </c>
      <c r="HV10" s="2" cm="1">
        <f t="array" ref="HV10">INDEX(增益!$A$2:$Q$40,HD10,MATCH(HV$8,增益!$B$1:$Q$1,0)+1)*$AI10</f>
        <v>0</v>
      </c>
      <c r="HW10" s="2" cm="1">
        <f t="array" ref="HW10">INDEX(增益!$A$2:$Q$40,HD10,MATCH(HW$8,增益!$B$1:$Q$1,0)+1)*$AI10</f>
        <v>0</v>
      </c>
      <c r="HY10" s="2" cm="1">
        <f t="array" ref="HY10">INDEX(增益!$A$2:$Q$40,HD10,MATCH(HY$8,增益!$B$1:$Q$1,0)+1)*$AI10</f>
        <v>0</v>
      </c>
      <c r="IA10" s="2" cm="1">
        <f t="array" ref="IA10">INDEX(增益!$A$2:$Q$40,HD10,MATCH(IA$8,增益!$B$1:$Q$1,0)+1)*$AI10</f>
        <v>0</v>
      </c>
      <c r="IB10" s="2" cm="1">
        <f t="array" ref="IB10">INDEX(增益!$A$2:$Q$40,HD10,MATCH(IB$8,增益!$B$1:$Q$1,0)+1)*$AI10</f>
        <v>0</v>
      </c>
      <c r="IF10" s="2" cm="1">
        <f t="array" ref="IF10">INDEX(云配队!$J15:$AC15,1,IF$1)</f>
        <v>0</v>
      </c>
      <c r="IG10" s="2">
        <f>IFERROR(MATCH(IF10,增益!$A$2:$A$40,FALSE),1)</f>
        <v>1</v>
      </c>
      <c r="IH10" s="2" cm="1">
        <f t="array" ref="IH10">INDEX(增益!$A$2:$Q$40,IG10,MATCH(IH$8,增益!$B$1:$Q$1,0)+1)*$AI10</f>
        <v>0</v>
      </c>
      <c r="II10" s="2" cm="1">
        <f t="array" ref="II10">INDEX(增益!$A$2:$Q$40,IG10,MATCH(II$8,增益!$B$1:$Q$1,0)+1)*$AI10</f>
        <v>0</v>
      </c>
      <c r="IJ10" s="2" cm="1">
        <f t="array" ref="IJ10">INDEX(增益!$A$2:$Q$40,IG10,MATCH(IJ$8,增益!$B$1:$Q$1,0)+1)*$AI10</f>
        <v>0</v>
      </c>
      <c r="IK10" s="2" cm="1">
        <f t="array" ref="IK10">INDEX(增益!$A$2:$Q$40,IG10,MATCH(IK$8,增益!$B$1:$Q$1,0)+1)*$AI10</f>
        <v>0</v>
      </c>
      <c r="IL10" s="2" cm="1">
        <f t="array" ref="IL10">INDEX(增益!$A$2:$Q$40,IG10,MATCH(IL$8,增益!$B$1:$Q$1,0)+1)*$AI10</f>
        <v>0</v>
      </c>
      <c r="IM10" s="2" cm="1">
        <f t="array" ref="IM10">INDEX(增益!$A$2:$Q$40,IG10,MATCH(IM$8,增益!$B$1:$Q$1,0)+1)*$AI10</f>
        <v>0</v>
      </c>
      <c r="IN10" s="2" cm="1">
        <f t="array" ref="IN10">INDEX(增益!$A$2:$Q$40,IG10,MATCH(IN$8,增益!$B$1:$Q$1,0)+1)*$AI10</f>
        <v>0</v>
      </c>
      <c r="IO10" s="2" cm="1">
        <f t="array" ref="IO10">INDEX(增益!$A$2:$Q$40,IG10,MATCH(IO$8,增益!$B$1:$Q$1,0)+1)*$AI10</f>
        <v>0</v>
      </c>
      <c r="IP10" s="2" cm="1">
        <f t="array" ref="IP10">INDEX(增益!$A$2:$Q$40,IG10,MATCH(IP$8,增益!$B$1:$Q$1,0)+1)*$AI10</f>
        <v>0</v>
      </c>
      <c r="IQ10" s="2" cm="1">
        <f t="array" ref="IQ10">INDEX(增益!$A$2:$Q$40,IG10,MATCH(IQ$8,增益!$B$1:$Q$1,0)+1)*$AI10</f>
        <v>0</v>
      </c>
      <c r="IR10" s="2" cm="1">
        <f t="array" ref="IR10">INDEX(动作!$O$3:$O$113,IG5)</f>
        <v>0</v>
      </c>
      <c r="IS10" s="2" cm="1">
        <f t="array" ref="IS10">INDEX(动作!$P$3:$P$113,IG5)</f>
        <v>0</v>
      </c>
      <c r="IT10" s="2" cm="1">
        <f t="array" ref="IT10">INDEX(动作!$Q$3:$Q$113,IG5)</f>
        <v>0</v>
      </c>
      <c r="IU10" s="2" cm="1">
        <f t="array" ref="IU10">INDEX(动作!$R$3:$R$113,IG5)</f>
        <v>0</v>
      </c>
      <c r="IV10" s="2" cm="1">
        <f t="array" ref="IV10">INDEX(动作!$S$3:$S$113,IG5)</f>
        <v>0</v>
      </c>
      <c r="IX10" s="2" cm="1">
        <f t="array" ref="IX10">INDEX(增益!$A$2:$Q$40,IG10,MATCH(IX$8,增益!$B$1:$Q$1,0)+1)*$AI10</f>
        <v>0</v>
      </c>
      <c r="IY10" s="2" cm="1">
        <f t="array" ref="IY10">INDEX(增益!$A$2:$Q$40,IG10,MATCH(IY$8,增益!$B$1:$Q$1,0)+1)*$AI10</f>
        <v>0</v>
      </c>
      <c r="IZ10" s="2" cm="1">
        <f t="array" ref="IZ10">INDEX(增益!$A$2:$Q$40,IG10,MATCH(IZ$8,增益!$B$1:$Q$1,0)+1)*$AI10</f>
        <v>0</v>
      </c>
      <c r="JB10" s="2" cm="1">
        <f t="array" ref="JB10">INDEX(增益!$A$2:$Q$40,IG10,MATCH(JB$8,增益!$B$1:$Q$1,0)+1)*$AI10</f>
        <v>0</v>
      </c>
      <c r="JD10" s="2" cm="1">
        <f t="array" ref="JD10">INDEX(增益!$A$2:$Q$40,IG10,MATCH(JD$8,增益!$B$1:$Q$1,0)+1)*$AI10</f>
        <v>0</v>
      </c>
      <c r="JE10" s="2" cm="1">
        <f t="array" ref="JE10">INDEX(增益!$A$2:$Q$40,IG10,MATCH(JE$8,增益!$B$1:$Q$1,0)+1)*$AI10</f>
        <v>0</v>
      </c>
      <c r="JI10" s="2" cm="1">
        <f t="array" ref="JI10">INDEX(云配队!$J15:$AC15,1,JI$1)</f>
        <v>0</v>
      </c>
      <c r="JJ10" s="2">
        <f>IFERROR(MATCH(JI10,增益!$A$2:$A$40,FALSE),1)</f>
        <v>1</v>
      </c>
      <c r="JK10" s="2" cm="1">
        <f t="array" ref="JK10">INDEX(增益!$A$2:$Q$40,JJ10,MATCH(JK$8,增益!$B$1:$Q$1,0)+1)*$AI10</f>
        <v>0</v>
      </c>
      <c r="JL10" s="2" cm="1">
        <f t="array" ref="JL10">INDEX(增益!$A$2:$Q$40,JJ10,MATCH(JL$8,增益!$B$1:$Q$1,0)+1)*$AI10</f>
        <v>0</v>
      </c>
      <c r="JM10" s="2" cm="1">
        <f t="array" ref="JM10">INDEX(增益!$A$2:$Q$40,JJ10,MATCH(JM$8,增益!$B$1:$Q$1,0)+1)*$AI10</f>
        <v>0</v>
      </c>
      <c r="JN10" s="2" cm="1">
        <f t="array" ref="JN10">INDEX(增益!$A$2:$Q$40,JJ10,MATCH(JN$8,增益!$B$1:$Q$1,0)+1)*$AI10</f>
        <v>0</v>
      </c>
      <c r="JO10" s="2" cm="1">
        <f t="array" ref="JO10">INDEX(增益!$A$2:$Q$40,JJ10,MATCH(JO$8,增益!$B$1:$Q$1,0)+1)*$AI10</f>
        <v>0</v>
      </c>
      <c r="JP10" s="2" cm="1">
        <f t="array" ref="JP10">INDEX(增益!$A$2:$Q$40,JJ10,MATCH(JP$8,增益!$B$1:$Q$1,0)+1)*$AI10</f>
        <v>0</v>
      </c>
      <c r="JQ10" s="2" cm="1">
        <f t="array" ref="JQ10">INDEX(增益!$A$2:$Q$40,JJ10,MATCH(JQ$8,增益!$B$1:$Q$1,0)+1)*$AI10</f>
        <v>0</v>
      </c>
      <c r="JR10" s="2" cm="1">
        <f t="array" ref="JR10">INDEX(增益!$A$2:$Q$40,JJ10,MATCH(JR$8,增益!$B$1:$Q$1,0)+1)*$AI10</f>
        <v>0</v>
      </c>
      <c r="JS10" s="2" cm="1">
        <f t="array" ref="JS10">INDEX(增益!$A$2:$Q$40,JJ10,MATCH(JS$8,增益!$B$1:$Q$1,0)+1)*$AI10</f>
        <v>0</v>
      </c>
      <c r="JT10" s="2" cm="1">
        <f t="array" ref="JT10">INDEX(增益!$A$2:$Q$40,JJ10,MATCH(JT$8,增益!$B$1:$Q$1,0)+1)*$AI10</f>
        <v>0</v>
      </c>
      <c r="JU10" s="2" cm="1">
        <f t="array" ref="JU10">INDEX(动作!$O$3:$O$113,JJ5)</f>
        <v>0</v>
      </c>
      <c r="JV10" s="2" cm="1">
        <f t="array" ref="JV10">INDEX(动作!$P$3:$P$113,JJ5)</f>
        <v>0</v>
      </c>
      <c r="JW10" s="2" cm="1">
        <f t="array" ref="JW10">INDEX(动作!$Q$3:$Q$113,JJ5)</f>
        <v>0</v>
      </c>
      <c r="JX10" s="2" cm="1">
        <f t="array" ref="JX10">INDEX(动作!$R$3:$R$113,JJ5)</f>
        <v>0</v>
      </c>
      <c r="JY10" s="2" cm="1">
        <f t="array" ref="JY10">INDEX(动作!$S$3:$S$113,JJ5)</f>
        <v>0</v>
      </c>
      <c r="KA10" s="2" cm="1">
        <f t="array" ref="KA10">INDEX(增益!$A$2:$Q$40,JJ10,MATCH(KA$8,增益!$B$1:$Q$1,0)+1)*$AI10</f>
        <v>0</v>
      </c>
      <c r="KB10" s="2" cm="1">
        <f t="array" ref="KB10">INDEX(增益!$A$2:$Q$40,JJ10,MATCH(KB$8,增益!$B$1:$Q$1,0)+1)*$AI10</f>
        <v>0</v>
      </c>
      <c r="KC10" s="2" cm="1">
        <f t="array" ref="KC10">INDEX(增益!$A$2:$Q$40,JJ10,MATCH(KC$8,增益!$B$1:$Q$1,0)+1)*$AI10</f>
        <v>0</v>
      </c>
      <c r="KE10" s="2" cm="1">
        <f t="array" ref="KE10">INDEX(增益!$A$2:$Q$40,JJ10,MATCH(KE$8,增益!$B$1:$Q$1,0)+1)*$AI10</f>
        <v>0</v>
      </c>
      <c r="KG10" s="2" cm="1">
        <f t="array" ref="KG10">INDEX(增益!$A$2:$Q$40,JJ10,MATCH(KG$8,增益!$B$1:$Q$1,0)+1)*$AI10</f>
        <v>0</v>
      </c>
      <c r="KH10" s="2" cm="1">
        <f t="array" ref="KH10">INDEX(增益!$A$2:$Q$40,JJ10,MATCH(KH$8,增益!$B$1:$Q$1,0)+1)*$AI10</f>
        <v>0</v>
      </c>
      <c r="KL10" s="2" cm="1">
        <f t="array" ref="KL10">INDEX(云配队!$J15:$AC15,1,KL$1)</f>
        <v>0</v>
      </c>
      <c r="KM10" s="2">
        <f>IFERROR(MATCH(KL10,增益!$A$2:$A$40,FALSE),1)</f>
        <v>1</v>
      </c>
      <c r="KN10" s="2" cm="1">
        <f t="array" ref="KN10">INDEX(增益!$A$2:$Q$40,KM10,MATCH(KN$8,增益!$B$1:$Q$1,0)+1)*$AI10</f>
        <v>0</v>
      </c>
      <c r="KO10" s="2" cm="1">
        <f t="array" ref="KO10">INDEX(增益!$A$2:$Q$40,KM10,MATCH(KO$8,增益!$B$1:$Q$1,0)+1)*$AI10</f>
        <v>0</v>
      </c>
      <c r="KP10" s="2" cm="1">
        <f t="array" ref="KP10">INDEX(增益!$A$2:$Q$40,KM10,MATCH(KP$8,增益!$B$1:$Q$1,0)+1)*$AI10</f>
        <v>0</v>
      </c>
      <c r="KQ10" s="2" cm="1">
        <f t="array" ref="KQ10">INDEX(增益!$A$2:$Q$40,KM10,MATCH(KQ$8,增益!$B$1:$Q$1,0)+1)*$AI10</f>
        <v>0</v>
      </c>
      <c r="KR10" s="2" cm="1">
        <f t="array" ref="KR10">INDEX(增益!$A$2:$Q$40,KM10,MATCH(KR$8,增益!$B$1:$Q$1,0)+1)*$AI10</f>
        <v>0</v>
      </c>
      <c r="KS10" s="2" cm="1">
        <f t="array" ref="KS10">INDEX(增益!$A$2:$Q$40,KM10,MATCH(KS$8,增益!$B$1:$Q$1,0)+1)*$AI10</f>
        <v>0</v>
      </c>
      <c r="KT10" s="2" cm="1">
        <f t="array" ref="KT10">INDEX(增益!$A$2:$Q$40,KM10,MATCH(KT$8,增益!$B$1:$Q$1,0)+1)*$AI10</f>
        <v>0</v>
      </c>
      <c r="KU10" s="2" cm="1">
        <f t="array" ref="KU10">INDEX(增益!$A$2:$Q$40,KM10,MATCH(KU$8,增益!$B$1:$Q$1,0)+1)*$AI10</f>
        <v>0</v>
      </c>
      <c r="KV10" s="2" cm="1">
        <f t="array" ref="KV10">INDEX(增益!$A$2:$Q$40,KM10,MATCH(KV$8,增益!$B$1:$Q$1,0)+1)*$AI10</f>
        <v>0</v>
      </c>
      <c r="KW10" s="2" cm="1">
        <f t="array" ref="KW10">INDEX(增益!$A$2:$Q$40,KM10,MATCH(KW$8,增益!$B$1:$Q$1,0)+1)*$AI10</f>
        <v>0</v>
      </c>
      <c r="KX10" s="2" cm="1">
        <f t="array" ref="KX10">INDEX(动作!$O$3:$O$113,KM5)</f>
        <v>0</v>
      </c>
      <c r="KY10" s="2" cm="1">
        <f t="array" ref="KY10">INDEX(动作!$P$3:$P$113,KM5)</f>
        <v>0</v>
      </c>
      <c r="KZ10" s="2" cm="1">
        <f t="array" ref="KZ10">INDEX(动作!$Q$3:$Q$113,KM5)</f>
        <v>0</v>
      </c>
      <c r="LA10" s="2" cm="1">
        <f t="array" ref="LA10">INDEX(动作!$R$3:$R$113,KM5)</f>
        <v>0</v>
      </c>
      <c r="LB10" s="2" cm="1">
        <f t="array" ref="LB10">INDEX(动作!$S$3:$S$113,KM5)</f>
        <v>0</v>
      </c>
      <c r="LD10" s="2" cm="1">
        <f t="array" ref="LD10">INDEX(增益!$A$2:$Q$40,KM10,MATCH(LD$8,增益!$B$1:$Q$1,0)+1)*$AI10</f>
        <v>0</v>
      </c>
      <c r="LE10" s="2" cm="1">
        <f t="array" ref="LE10">INDEX(增益!$A$2:$Q$40,KM10,MATCH(LE$8,增益!$B$1:$Q$1,0)+1)*$AI10</f>
        <v>0</v>
      </c>
      <c r="LF10" s="2" cm="1">
        <f t="array" ref="LF10">INDEX(增益!$A$2:$Q$40,KM10,MATCH(LF$8,增益!$B$1:$Q$1,0)+1)*$AI10</f>
        <v>0</v>
      </c>
      <c r="LH10" s="2" cm="1">
        <f t="array" ref="LH10">INDEX(增益!$A$2:$Q$40,KM10,MATCH(LH$8,增益!$B$1:$Q$1,0)+1)*$AI10</f>
        <v>0</v>
      </c>
      <c r="LJ10" s="2" cm="1">
        <f t="array" ref="LJ10">INDEX(增益!$A$2:$Q$40,KM10,MATCH(LJ$8,增益!$B$1:$Q$1,0)+1)*$AI10</f>
        <v>0</v>
      </c>
      <c r="LK10" s="2" cm="1">
        <f t="array" ref="LK10">INDEX(增益!$A$2:$Q$40,KM10,MATCH(LK$8,增益!$B$1:$Q$1,0)+1)*$AI10</f>
        <v>0</v>
      </c>
      <c r="LO10" s="2" t="str" cm="1">
        <f t="array" ref="LO10">INDEX(云配队!$J15:$AC15,1,LO$1)</f>
        <v>阿德勒6命Q后E</v>
      </c>
      <c r="LP10" s="2">
        <f>IFERROR(MATCH(LO10,增益!$A$2:$A$40,FALSE),1)</f>
        <v>8</v>
      </c>
      <c r="LQ10" s="2" cm="1">
        <f t="array" ref="LQ10">INDEX(增益!$A$2:$Q$40,LP10,MATCH(LQ$8,增益!$B$1:$Q$1,0)+1)*$AI10</f>
        <v>0</v>
      </c>
      <c r="LR10" s="2" cm="1">
        <f t="array" ref="LR10">INDEX(增益!$A$2:$Q$40,LP10,MATCH(LR$8,增益!$B$1:$Q$1,0)+1)*$AI10</f>
        <v>0</v>
      </c>
      <c r="LS10" s="2" cm="1">
        <f t="array" ref="LS10">INDEX(增益!$A$2:$Q$40,LP10,MATCH(LS$8,增益!$B$1:$Q$1,0)+1)*$AI10</f>
        <v>0</v>
      </c>
      <c r="LT10" s="2" cm="1">
        <f t="array" ref="LT10">INDEX(增益!$A$2:$Q$40,LP10,MATCH(LT$8,增益!$B$1:$Q$1,0)+1)*$AI10</f>
        <v>0</v>
      </c>
      <c r="LU10" s="2" cm="1">
        <f t="array" ref="LU10">INDEX(增益!$A$2:$Q$40,LP10,MATCH(LU$8,增益!$B$1:$Q$1,0)+1)*$AI10</f>
        <v>0</v>
      </c>
      <c r="LV10" s="2" cm="1">
        <f t="array" ref="LV10">INDEX(增益!$A$2:$Q$40,LP10,MATCH(LV$8,增益!$B$1:$Q$1,0)+1)*$AI10</f>
        <v>0</v>
      </c>
      <c r="LW10" s="2" cm="1">
        <f t="array" ref="LW10">INDEX(增益!$A$2:$Q$40,LP10,MATCH(LW$8,增益!$B$1:$Q$1,0)+1)*$AI10</f>
        <v>0</v>
      </c>
      <c r="LX10" s="2" cm="1">
        <f t="array" ref="LX10">INDEX(增益!$A$2:$Q$40,LP10,MATCH(LX$8,增益!$B$1:$Q$1,0)+1)*$AI10</f>
        <v>0</v>
      </c>
      <c r="LY10" s="2" cm="1">
        <f t="array" ref="LY10">INDEX(增益!$A$2:$Q$40,LP10,MATCH(LY$8,增益!$B$1:$Q$1,0)+1)*$AI10</f>
        <v>0</v>
      </c>
      <c r="LZ10" s="2" cm="1">
        <f t="array" ref="LZ10">INDEX(增益!$A$2:$Q$40,LP10,MATCH(LZ$8,增益!$B$1:$Q$1,0)+1)*$AI10</f>
        <v>0</v>
      </c>
      <c r="MA10" s="2" cm="1">
        <f t="array" ref="MA10">INDEX(动作!$O$3:$O$113,LP5)</f>
        <v>0</v>
      </c>
      <c r="MB10" s="2" cm="1">
        <f t="array" ref="MB10">INDEX(动作!$P$3:$P$113,LP5)</f>
        <v>0</v>
      </c>
      <c r="MC10" s="2" cm="1">
        <f t="array" ref="MC10">INDEX(动作!$Q$3:$Q$113,LP5)</f>
        <v>0</v>
      </c>
      <c r="MD10" s="2" cm="1">
        <f t="array" ref="MD10">INDEX(动作!$R$3:$R$113,LP5)</f>
        <v>0</v>
      </c>
      <c r="ME10" s="2" cm="1">
        <f t="array" ref="ME10">INDEX(动作!$S$3:$S$113,LP5)</f>
        <v>0</v>
      </c>
      <c r="MG10" s="2" cm="1">
        <f t="array" ref="MG10">INDEX(增益!$A$2:$Q$40,LP10,MATCH(MG$8,增益!$B$1:$Q$1,0)+1)*$AI10</f>
        <v>0.35</v>
      </c>
      <c r="MH10" s="2" cm="1">
        <f t="array" ref="MH10">INDEX(增益!$A$2:$Q$40,LP10,MATCH(MH$8,增益!$B$1:$Q$1,0)+1)*$AI10</f>
        <v>0</v>
      </c>
      <c r="MI10" s="2" cm="1">
        <f t="array" ref="MI10">INDEX(增益!$A$2:$Q$40,LP10,MATCH(MI$8,增益!$B$1:$Q$1,0)+1)*$AI10</f>
        <v>0</v>
      </c>
      <c r="MK10" s="2" cm="1">
        <f t="array" ref="MK10">INDEX(增益!$A$2:$Q$40,LP10,MATCH(MK$8,增益!$B$1:$Q$1,0)+1)*$AI10</f>
        <v>0</v>
      </c>
      <c r="MM10" s="2" cm="1">
        <f t="array" ref="MM10">INDEX(增益!$A$2:$Q$40,LP10,MATCH(MM$8,增益!$B$1:$Q$1,0)+1)*$AI10</f>
        <v>0</v>
      </c>
      <c r="MN10" s="2" cm="1">
        <f t="array" ref="MN10">INDEX(增益!$A$2:$Q$40,LP10,MATCH(MN$8,增益!$B$1:$Q$1,0)+1)*$AI10</f>
        <v>0</v>
      </c>
      <c r="MR10" s="2" cm="1">
        <f t="array" ref="MR10">INDEX(云配队!$J15:$AC15,1,MR$1)</f>
        <v>0</v>
      </c>
      <c r="MS10" s="2">
        <f>IFERROR(MATCH(MR10,增益!$A$2:$A$40,FALSE),1)</f>
        <v>1</v>
      </c>
      <c r="MT10" s="2" cm="1">
        <f t="array" ref="MT10">INDEX(增益!$A$2:$Q$40,MS10,MATCH(MT$8,增益!$B$1:$Q$1,0)+1)*$AI10</f>
        <v>0</v>
      </c>
      <c r="MU10" s="2" cm="1">
        <f t="array" ref="MU10">INDEX(增益!$A$2:$Q$40,MS10,MATCH(MU$8,增益!$B$1:$Q$1,0)+1)*$AI10</f>
        <v>0</v>
      </c>
      <c r="MV10" s="2" cm="1">
        <f t="array" ref="MV10">INDEX(增益!$A$2:$Q$40,MS10,MATCH(MV$8,增益!$B$1:$Q$1,0)+1)*$AI10</f>
        <v>0</v>
      </c>
      <c r="MW10" s="2" cm="1">
        <f t="array" ref="MW10">INDEX(增益!$A$2:$Q$40,MS10,MATCH(MW$8,增益!$B$1:$Q$1,0)+1)*$AI10</f>
        <v>0</v>
      </c>
      <c r="MX10" s="2" cm="1">
        <f t="array" ref="MX10">INDEX(增益!$A$2:$Q$40,MS10,MATCH(MX$8,增益!$B$1:$Q$1,0)+1)*$AI10</f>
        <v>0</v>
      </c>
      <c r="MY10" s="2" cm="1">
        <f t="array" ref="MY10">INDEX(增益!$A$2:$Q$40,MS10,MATCH(MY$8,增益!$B$1:$Q$1,0)+1)*$AI10</f>
        <v>0</v>
      </c>
      <c r="MZ10" s="2" cm="1">
        <f t="array" ref="MZ10">INDEX(增益!$A$2:$Q$40,MS10,MATCH(MZ$8,增益!$B$1:$Q$1,0)+1)*$AI10</f>
        <v>0</v>
      </c>
      <c r="NA10" s="2" cm="1">
        <f t="array" ref="NA10">INDEX(增益!$A$2:$Q$40,MS10,MATCH(NA$8,增益!$B$1:$Q$1,0)+1)*$AI10</f>
        <v>0</v>
      </c>
      <c r="NB10" s="2" cm="1">
        <f t="array" ref="NB10">INDEX(增益!$A$2:$Q$40,MS10,MATCH(NB$8,增益!$B$1:$Q$1,0)+1)*$AI10</f>
        <v>0</v>
      </c>
      <c r="NC10" s="2" cm="1">
        <f t="array" ref="NC10">INDEX(增益!$A$2:$Q$40,MS10,MATCH(NC$8,增益!$B$1:$Q$1,0)+1)*$AI10</f>
        <v>0</v>
      </c>
      <c r="ND10" s="2" cm="1">
        <f t="array" ref="ND10">INDEX(动作!$O$3:$O$113,MS5)</f>
        <v>0</v>
      </c>
      <c r="NE10" s="2" cm="1">
        <f t="array" ref="NE10">INDEX(动作!$P$3:$P$113,MS5)</f>
        <v>0</v>
      </c>
      <c r="NF10" s="2" cm="1">
        <f t="array" ref="NF10">INDEX(动作!$Q$3:$Q$113,MS5)</f>
        <v>0</v>
      </c>
      <c r="NG10" s="2" cm="1">
        <f t="array" ref="NG10">INDEX(动作!$R$3:$R$113,MS5)</f>
        <v>0</v>
      </c>
      <c r="NH10" s="2" cm="1">
        <f t="array" ref="NH10">INDEX(动作!$S$3:$S$113,MS5)</f>
        <v>0</v>
      </c>
      <c r="NJ10" s="2" cm="1">
        <f t="array" ref="NJ10">INDEX(增益!$A$2:$Q$40,MS10,MATCH(NJ$8,增益!$B$1:$Q$1,0)+1)*$AI10</f>
        <v>0</v>
      </c>
      <c r="NK10" s="2" cm="1">
        <f t="array" ref="NK10">INDEX(增益!$A$2:$Q$40,MS10,MATCH(NK$8,增益!$B$1:$Q$1,0)+1)*$AI10</f>
        <v>0</v>
      </c>
      <c r="NL10" s="2" cm="1">
        <f t="array" ref="NL10">INDEX(增益!$A$2:$Q$40,MS10,MATCH(NL$8,增益!$B$1:$Q$1,0)+1)*$AI10</f>
        <v>0</v>
      </c>
      <c r="NN10" s="2" cm="1">
        <f t="array" ref="NN10">INDEX(增益!$A$2:$Q$40,MS10,MATCH(NN$8,增益!$B$1:$Q$1,0)+1)*$AI10</f>
        <v>0</v>
      </c>
      <c r="NP10" s="2" cm="1">
        <f t="array" ref="NP10">INDEX(增益!$A$2:$Q$40,MS10,MATCH(NP$8,增益!$B$1:$Q$1,0)+1)*$AI10</f>
        <v>0</v>
      </c>
      <c r="NQ10" s="2" cm="1">
        <f t="array" ref="NQ10">INDEX(增益!$A$2:$Q$40,MS10,MATCH(NQ$8,增益!$B$1:$Q$1,0)+1)*$AI10</f>
        <v>0</v>
      </c>
      <c r="NU10" s="2" cm="1">
        <f t="array" ref="NU10">INDEX(云配队!$J15:$AC15,1,NU$1)</f>
        <v>0</v>
      </c>
      <c r="NV10" s="2">
        <f>IFERROR(MATCH(NU10,增益!$A$2:$A$40,FALSE),1)</f>
        <v>1</v>
      </c>
      <c r="NW10" s="2" cm="1">
        <f t="array" ref="NW10">INDEX(增益!$A$2:$Q$40,NV10,MATCH(NW$8,增益!$B$1:$Q$1,0)+1)*$AI10</f>
        <v>0</v>
      </c>
      <c r="NX10" s="2" cm="1">
        <f t="array" ref="NX10">INDEX(增益!$A$2:$Q$40,NV10,MATCH(NX$8,增益!$B$1:$Q$1,0)+1)*$AI10</f>
        <v>0</v>
      </c>
      <c r="NY10" s="2" cm="1">
        <f t="array" ref="NY10">INDEX(增益!$A$2:$Q$40,NV10,MATCH(NY$8,增益!$B$1:$Q$1,0)+1)*$AI10</f>
        <v>0</v>
      </c>
      <c r="NZ10" s="2" cm="1">
        <f t="array" ref="NZ10">INDEX(增益!$A$2:$Q$40,NV10,MATCH(NZ$8,增益!$B$1:$Q$1,0)+1)*$AI10</f>
        <v>0</v>
      </c>
      <c r="OA10" s="2" cm="1">
        <f t="array" ref="OA10">INDEX(增益!$A$2:$Q$40,NV10,MATCH(OA$8,增益!$B$1:$Q$1,0)+1)*$AI10</f>
        <v>0</v>
      </c>
      <c r="OB10" s="2" cm="1">
        <f t="array" ref="OB10">INDEX(增益!$A$2:$Q$40,NV10,MATCH(OB$8,增益!$B$1:$Q$1,0)+1)*$AI10</f>
        <v>0</v>
      </c>
      <c r="OC10" s="2" cm="1">
        <f t="array" ref="OC10">INDEX(增益!$A$2:$Q$40,NV10,MATCH(OC$8,增益!$B$1:$Q$1,0)+1)*$AI10</f>
        <v>0</v>
      </c>
      <c r="OD10" s="2" cm="1">
        <f t="array" ref="OD10">INDEX(增益!$A$2:$Q$40,NV10,MATCH(OD$8,增益!$B$1:$Q$1,0)+1)*$AI10</f>
        <v>0</v>
      </c>
      <c r="OE10" s="2" cm="1">
        <f t="array" ref="OE10">INDEX(增益!$A$2:$Q$40,NV10,MATCH(OE$8,增益!$B$1:$Q$1,0)+1)*$AI10</f>
        <v>0</v>
      </c>
      <c r="OF10" s="2" cm="1">
        <f t="array" ref="OF10">INDEX(增益!$A$2:$Q$40,NV10,MATCH(OF$8,增益!$B$1:$Q$1,0)+1)*$AI10</f>
        <v>0</v>
      </c>
      <c r="OG10" s="2" cm="1">
        <f t="array" ref="OG10">INDEX(动作!$O$3:$O$113,NV5)</f>
        <v>0</v>
      </c>
      <c r="OH10" s="2" cm="1">
        <f t="array" ref="OH10">INDEX(动作!$P$3:$P$113,NV5)</f>
        <v>0</v>
      </c>
      <c r="OI10" s="2" cm="1">
        <f t="array" ref="OI10">INDEX(动作!$Q$3:$Q$113,NV5)</f>
        <v>0</v>
      </c>
      <c r="OJ10" s="2" cm="1">
        <f t="array" ref="OJ10">INDEX(动作!$R$3:$R$113,NV5)</f>
        <v>0</v>
      </c>
      <c r="OK10" s="2" cm="1">
        <f t="array" ref="OK10">INDEX(动作!$S$3:$S$113,NV5)</f>
        <v>0</v>
      </c>
      <c r="OM10" s="2" cm="1">
        <f t="array" ref="OM10">INDEX(增益!$A$2:$Q$40,NV10,MATCH(OM$8,增益!$B$1:$Q$1,0)+1)*$AI10</f>
        <v>0</v>
      </c>
      <c r="ON10" s="2" cm="1">
        <f t="array" ref="ON10">INDEX(增益!$A$2:$Q$40,NV10,MATCH(ON$8,增益!$B$1:$Q$1,0)+1)*$AI10</f>
        <v>0</v>
      </c>
      <c r="OO10" s="2" cm="1">
        <f t="array" ref="OO10">INDEX(增益!$A$2:$Q$40,NV10,MATCH(OO$8,增益!$B$1:$Q$1,0)+1)*$AI10</f>
        <v>0</v>
      </c>
      <c r="OQ10" s="2" cm="1">
        <f t="array" ref="OQ10">INDEX(增益!$A$2:$Q$40,NV10,MATCH(OQ$8,增益!$B$1:$Q$1,0)+1)*$AI10</f>
        <v>0</v>
      </c>
      <c r="OS10" s="2" cm="1">
        <f t="array" ref="OS10">INDEX(增益!$A$2:$Q$40,NV10,MATCH(OS$8,增益!$B$1:$Q$1,0)+1)*$AI10</f>
        <v>0</v>
      </c>
      <c r="OT10" s="2" cm="1">
        <f t="array" ref="OT10">INDEX(增益!$A$2:$Q$40,NV10,MATCH(OT$8,增益!$B$1:$Q$1,0)+1)*$AI10</f>
        <v>0</v>
      </c>
      <c r="OX10" s="2" cm="1">
        <f t="array" ref="OX10">INDEX(云配队!$J15:$AC15,1,OX$1)</f>
        <v>0</v>
      </c>
      <c r="OY10" s="2">
        <f>IFERROR(MATCH(OX10,增益!$A$2:$A$40,FALSE),1)</f>
        <v>1</v>
      </c>
      <c r="OZ10" s="2" cm="1">
        <f t="array" ref="OZ10">INDEX(增益!$A$2:$Q$40,OY10,MATCH(OZ$8,增益!$B$1:$Q$1,0)+1)*$AI10</f>
        <v>0</v>
      </c>
      <c r="PA10" s="2" cm="1">
        <f t="array" ref="PA10">INDEX(增益!$A$2:$Q$40,OY10,MATCH(PA$8,增益!$B$1:$Q$1,0)+1)*$AI10</f>
        <v>0</v>
      </c>
      <c r="PB10" s="2" cm="1">
        <f t="array" ref="PB10">INDEX(增益!$A$2:$Q$40,OY10,MATCH(PB$8,增益!$B$1:$Q$1,0)+1)*$AI10</f>
        <v>0</v>
      </c>
      <c r="PC10" s="2" cm="1">
        <f t="array" ref="PC10">INDEX(增益!$A$2:$Q$40,OY10,MATCH(PC$8,增益!$B$1:$Q$1,0)+1)*$AI10</f>
        <v>0</v>
      </c>
      <c r="PD10" s="2" cm="1">
        <f t="array" ref="PD10">INDEX(增益!$A$2:$Q$40,OY10,MATCH(PD$8,增益!$B$1:$Q$1,0)+1)*$AI10</f>
        <v>0</v>
      </c>
      <c r="PE10" s="2" cm="1">
        <f t="array" ref="PE10">INDEX(增益!$A$2:$Q$40,OY10,MATCH(PE$8,增益!$B$1:$Q$1,0)+1)*$AI10</f>
        <v>0</v>
      </c>
      <c r="PF10" s="2" cm="1">
        <f t="array" ref="PF10">INDEX(增益!$A$2:$Q$40,OY10,MATCH(PF$8,增益!$B$1:$Q$1,0)+1)*$AI10</f>
        <v>0</v>
      </c>
      <c r="PG10" s="2" cm="1">
        <f t="array" ref="PG10">INDEX(增益!$A$2:$Q$40,OY10,MATCH(PG$8,增益!$B$1:$Q$1,0)+1)*$AI10</f>
        <v>0</v>
      </c>
      <c r="PH10" s="2" cm="1">
        <f t="array" ref="PH10">INDEX(增益!$A$2:$Q$40,OY10,MATCH(PH$8,增益!$B$1:$Q$1,0)+1)*$AI10</f>
        <v>0</v>
      </c>
      <c r="PI10" s="2" cm="1">
        <f t="array" ref="PI10">INDEX(增益!$A$2:$Q$40,OY10,MATCH(PI$8,增益!$B$1:$Q$1,0)+1)*$AI10</f>
        <v>0</v>
      </c>
      <c r="PJ10" s="2" cm="1">
        <f t="array" ref="PJ10">INDEX(动作!$O$3:$O$113,OY5)</f>
        <v>0</v>
      </c>
      <c r="PK10" s="2" cm="1">
        <f t="array" ref="PK10">INDEX(动作!$P$3:$P$113,OY5)</f>
        <v>0</v>
      </c>
      <c r="PL10" s="2" cm="1">
        <f t="array" ref="PL10">INDEX(动作!$Q$3:$Q$113,OY5)</f>
        <v>0</v>
      </c>
      <c r="PM10" s="2" cm="1">
        <f t="array" ref="PM10">INDEX(动作!$R$3:$R$113,OY5)</f>
        <v>0</v>
      </c>
      <c r="PN10" s="2" cm="1">
        <f t="array" ref="PN10">INDEX(动作!$S$3:$S$113,OY5)</f>
        <v>0</v>
      </c>
      <c r="PP10" s="2" cm="1">
        <f t="array" ref="PP10">INDEX(增益!$A$2:$Q$40,OY10,MATCH(PP$8,增益!$B$1:$Q$1,0)+1)*$AI10</f>
        <v>0</v>
      </c>
      <c r="PQ10" s="2" cm="1">
        <f t="array" ref="PQ10">INDEX(增益!$A$2:$Q$40,OY10,MATCH(PQ$8,增益!$B$1:$Q$1,0)+1)*$AI10</f>
        <v>0</v>
      </c>
      <c r="PR10" s="2" cm="1">
        <f t="array" ref="PR10">INDEX(增益!$A$2:$Q$40,OY10,MATCH(PR$8,增益!$B$1:$Q$1,0)+1)*$AI10</f>
        <v>0</v>
      </c>
      <c r="PT10" s="2" cm="1">
        <f t="array" ref="PT10">INDEX(增益!$A$2:$Q$40,OY10,MATCH(PT$8,增益!$B$1:$Q$1,0)+1)*$AI10</f>
        <v>0</v>
      </c>
      <c r="PV10" s="2" cm="1">
        <f t="array" ref="PV10">INDEX(增益!$A$2:$Q$40,OY10,MATCH(PV$8,增益!$B$1:$Q$1,0)+1)*$AI10</f>
        <v>0</v>
      </c>
      <c r="PW10" s="2" cm="1">
        <f t="array" ref="PW10">INDEX(增益!$A$2:$Q$40,OY10,MATCH(PW$8,增益!$B$1:$Q$1,0)+1)*$AI10</f>
        <v>0</v>
      </c>
      <c r="QA10" s="2" cm="1">
        <f t="array" ref="QA10">INDEX(云配队!$J15:$AC15,1,QA$1)</f>
        <v>0</v>
      </c>
      <c r="QB10" s="2">
        <f>IFERROR(MATCH(QA10,增益!$A$2:$A$40,FALSE),1)</f>
        <v>1</v>
      </c>
      <c r="QC10" s="2" cm="1">
        <f t="array" ref="QC10">INDEX(增益!$A$2:$Q$40,QB10,MATCH(QC$8,增益!$B$1:$Q$1,0)+1)*$AI10</f>
        <v>0</v>
      </c>
      <c r="QD10" s="2" cm="1">
        <f t="array" ref="QD10">INDEX(增益!$A$2:$Q$40,QB10,MATCH(QD$8,增益!$B$1:$Q$1,0)+1)*$AI10</f>
        <v>0</v>
      </c>
      <c r="QE10" s="2" cm="1">
        <f t="array" ref="QE10">INDEX(增益!$A$2:$Q$40,QB10,MATCH(QE$8,增益!$B$1:$Q$1,0)+1)*$AI10</f>
        <v>0</v>
      </c>
      <c r="QF10" s="2" cm="1">
        <f t="array" ref="QF10">INDEX(增益!$A$2:$Q$40,QB10,MATCH(QF$8,增益!$B$1:$Q$1,0)+1)*$AI10</f>
        <v>0</v>
      </c>
      <c r="QG10" s="2" cm="1">
        <f t="array" ref="QG10">INDEX(增益!$A$2:$Q$40,QB10,MATCH(QG$8,增益!$B$1:$Q$1,0)+1)*$AI10</f>
        <v>0</v>
      </c>
      <c r="QH10" s="2" cm="1">
        <f t="array" ref="QH10">INDEX(增益!$A$2:$Q$40,QB10,MATCH(QH$8,增益!$B$1:$Q$1,0)+1)*$AI10</f>
        <v>0</v>
      </c>
      <c r="QI10" s="2" cm="1">
        <f t="array" ref="QI10">INDEX(增益!$A$2:$Q$40,QB10,MATCH(QI$8,增益!$B$1:$Q$1,0)+1)*$AI10</f>
        <v>0</v>
      </c>
      <c r="QJ10" s="2" cm="1">
        <f t="array" ref="QJ10">INDEX(增益!$A$2:$Q$40,QB10,MATCH(QJ$8,增益!$B$1:$Q$1,0)+1)*$AI10</f>
        <v>0</v>
      </c>
      <c r="QK10" s="2" cm="1">
        <f t="array" ref="QK10">INDEX(增益!$A$2:$Q$40,QB10,MATCH(QK$8,增益!$B$1:$Q$1,0)+1)*$AI10</f>
        <v>0</v>
      </c>
      <c r="QL10" s="2" cm="1">
        <f t="array" ref="QL10">INDEX(增益!$A$2:$Q$40,QB10,MATCH(QL$8,增益!$B$1:$Q$1,0)+1)*$AI10</f>
        <v>0</v>
      </c>
      <c r="QM10" s="2" cm="1">
        <f t="array" ref="QM10">INDEX(动作!$O$3:$O$113,QB5)</f>
        <v>0</v>
      </c>
      <c r="QN10" s="2" cm="1">
        <f t="array" ref="QN10">INDEX(动作!$P$3:$P$113,QB5)</f>
        <v>0</v>
      </c>
      <c r="QO10" s="2" cm="1">
        <f t="array" ref="QO10">INDEX(动作!$Q$3:$Q$113,QB5)</f>
        <v>0</v>
      </c>
      <c r="QP10" s="2" cm="1">
        <f t="array" ref="QP10">INDEX(动作!$R$3:$R$113,QB5)</f>
        <v>0</v>
      </c>
      <c r="QQ10" s="2" cm="1">
        <f t="array" ref="QQ10">INDEX(动作!$S$3:$S$113,QB5)</f>
        <v>0</v>
      </c>
      <c r="QS10" s="2" cm="1">
        <f t="array" ref="QS10">INDEX(增益!$A$2:$Q$40,QB10,MATCH(QS$8,增益!$B$1:$Q$1,0)+1)*$AI10</f>
        <v>0</v>
      </c>
      <c r="QT10" s="2" cm="1">
        <f t="array" ref="QT10">INDEX(增益!$A$2:$Q$40,QB10,MATCH(QT$8,增益!$B$1:$Q$1,0)+1)*$AI10</f>
        <v>0</v>
      </c>
      <c r="QU10" s="2" cm="1">
        <f t="array" ref="QU10">INDEX(增益!$A$2:$Q$40,QB10,MATCH(QU$8,增益!$B$1:$Q$1,0)+1)*$AI10</f>
        <v>0</v>
      </c>
      <c r="QW10" s="2" cm="1">
        <f t="array" ref="QW10">INDEX(增益!$A$2:$Q$40,QB10,MATCH(QW$8,增益!$B$1:$Q$1,0)+1)*$AI10</f>
        <v>0</v>
      </c>
      <c r="QY10" s="2" cm="1">
        <f t="array" ref="QY10">INDEX(增益!$A$2:$Q$40,QB10,MATCH(QY$8,增益!$B$1:$Q$1,0)+1)*$AI10</f>
        <v>0</v>
      </c>
      <c r="QZ10" s="2" cm="1">
        <f t="array" ref="QZ10">INDEX(增益!$A$2:$Q$40,QB10,MATCH(QZ$8,增益!$B$1:$Q$1,0)+1)*$AI10</f>
        <v>0</v>
      </c>
      <c r="RD10" s="2" cm="1">
        <f t="array" ref="RD10">INDEX(云配队!$J15:$AC15,1,RD$1)</f>
        <v>0</v>
      </c>
      <c r="RE10" s="2">
        <f>IFERROR(MATCH(RD10,增益!$A$2:$A$40,FALSE),1)</f>
        <v>1</v>
      </c>
      <c r="RF10" s="2" cm="1">
        <f t="array" ref="RF10">INDEX(增益!$A$2:$Q$40,RE10,MATCH(RF$8,增益!$B$1:$Q$1,0)+1)*$AI10</f>
        <v>0</v>
      </c>
      <c r="RG10" s="2" cm="1">
        <f t="array" ref="RG10">INDEX(增益!$A$2:$Q$40,RE10,MATCH(RG$8,增益!$B$1:$Q$1,0)+1)*$AI10</f>
        <v>0</v>
      </c>
      <c r="RH10" s="2" cm="1">
        <f t="array" ref="RH10">INDEX(增益!$A$2:$Q$40,RE10,MATCH(RH$8,增益!$B$1:$Q$1,0)+1)*$AI10</f>
        <v>0</v>
      </c>
      <c r="RI10" s="2" cm="1">
        <f t="array" ref="RI10">INDEX(增益!$A$2:$Q$40,RE10,MATCH(RI$8,增益!$B$1:$Q$1,0)+1)*$AI10</f>
        <v>0</v>
      </c>
      <c r="RJ10" s="2" cm="1">
        <f t="array" ref="RJ10">INDEX(增益!$A$2:$Q$40,RE10,MATCH(RJ$8,增益!$B$1:$Q$1,0)+1)*$AI10</f>
        <v>0</v>
      </c>
      <c r="RK10" s="2" cm="1">
        <f t="array" ref="RK10">INDEX(增益!$A$2:$Q$40,RE10,MATCH(RK$8,增益!$B$1:$Q$1,0)+1)*$AI10</f>
        <v>0</v>
      </c>
      <c r="RL10" s="2" cm="1">
        <f t="array" ref="RL10">INDEX(增益!$A$2:$Q$40,RE10,MATCH(RL$8,增益!$B$1:$Q$1,0)+1)*$AI10</f>
        <v>0</v>
      </c>
      <c r="RM10" s="2" cm="1">
        <f t="array" ref="RM10">INDEX(增益!$A$2:$Q$40,RE10,MATCH(RM$8,增益!$B$1:$Q$1,0)+1)*$AI10</f>
        <v>0</v>
      </c>
      <c r="RN10" s="2" cm="1">
        <f t="array" ref="RN10">INDEX(增益!$A$2:$Q$40,RE10,MATCH(RN$8,增益!$B$1:$Q$1,0)+1)*$AI10</f>
        <v>0</v>
      </c>
      <c r="RO10" s="2" cm="1">
        <f t="array" ref="RO10">INDEX(增益!$A$2:$Q$40,RE10,MATCH(RO$8,增益!$B$1:$Q$1,0)+1)*$AI10</f>
        <v>0</v>
      </c>
      <c r="RP10" s="2" cm="1">
        <f t="array" ref="RP10">INDEX(动作!$O$3:$O$113,RE5)</f>
        <v>0</v>
      </c>
      <c r="RQ10" s="2" cm="1">
        <f t="array" ref="RQ10">INDEX(动作!$P$3:$P$113,RE5)</f>
        <v>0</v>
      </c>
      <c r="RR10" s="2" cm="1">
        <f t="array" ref="RR10">INDEX(动作!$Q$3:$Q$113,RE5)</f>
        <v>0</v>
      </c>
      <c r="RS10" s="2" cm="1">
        <f t="array" ref="RS10">INDEX(动作!$R$3:$R$113,RE5)</f>
        <v>0</v>
      </c>
      <c r="RT10" s="2" cm="1">
        <f t="array" ref="RT10">INDEX(动作!$S$3:$S$113,RE5)</f>
        <v>0</v>
      </c>
      <c r="RV10" s="2" cm="1">
        <f t="array" ref="RV10">INDEX(增益!$A$2:$Q$40,RE10,MATCH(RV$8,增益!$B$1:$Q$1,0)+1)*$AI10</f>
        <v>0</v>
      </c>
      <c r="RW10" s="2" cm="1">
        <f t="array" ref="RW10">INDEX(增益!$A$2:$Q$40,RE10,MATCH(RW$8,增益!$B$1:$Q$1,0)+1)*$AI10</f>
        <v>0</v>
      </c>
      <c r="RX10" s="2" cm="1">
        <f t="array" ref="RX10">INDEX(增益!$A$2:$Q$40,RE10,MATCH(RX$8,增益!$B$1:$Q$1,0)+1)*$AI10</f>
        <v>0</v>
      </c>
      <c r="RZ10" s="2" cm="1">
        <f t="array" ref="RZ10">INDEX(增益!$A$2:$Q$40,RE10,MATCH(RZ$8,增益!$B$1:$Q$1,0)+1)*$AI10</f>
        <v>0</v>
      </c>
      <c r="SB10" s="2" cm="1">
        <f t="array" ref="SB10">INDEX(增益!$A$2:$Q$40,RE10,MATCH(SB$8,增益!$B$1:$Q$1,0)+1)*$AI10</f>
        <v>0</v>
      </c>
      <c r="SC10" s="2" cm="1">
        <f t="array" ref="SC10">INDEX(增益!$A$2:$Q$40,RE10,MATCH(SC$8,增益!$B$1:$Q$1,0)+1)*$AI10</f>
        <v>0</v>
      </c>
      <c r="SG10" s="2" cm="1">
        <f t="array" ref="SG10">INDEX(云配队!$J15:$AC15,1,SG$1)</f>
        <v>0</v>
      </c>
      <c r="SH10" s="2">
        <f>IFERROR(MATCH(SG10,增益!$A$2:$A$40,FALSE),1)</f>
        <v>1</v>
      </c>
      <c r="SI10" s="2" cm="1">
        <f t="array" ref="SI10">INDEX(增益!$A$2:$Q$40,SH10,MATCH(SI$8,增益!$B$1:$Q$1,0)+1)*$AI10</f>
        <v>0</v>
      </c>
      <c r="SJ10" s="2" cm="1">
        <f t="array" ref="SJ10">INDEX(增益!$A$2:$Q$40,SH10,MATCH(SJ$8,增益!$B$1:$Q$1,0)+1)*$AI10</f>
        <v>0</v>
      </c>
      <c r="SK10" s="2" cm="1">
        <f t="array" ref="SK10">INDEX(增益!$A$2:$Q$40,SH10,MATCH(SK$8,增益!$B$1:$Q$1,0)+1)*$AI10</f>
        <v>0</v>
      </c>
      <c r="SL10" s="2" cm="1">
        <f t="array" ref="SL10">INDEX(增益!$A$2:$Q$40,SH10,MATCH(SL$8,增益!$B$1:$Q$1,0)+1)*$AI10</f>
        <v>0</v>
      </c>
      <c r="SM10" s="2" cm="1">
        <f t="array" ref="SM10">INDEX(增益!$A$2:$Q$40,SH10,MATCH(SM$8,增益!$B$1:$Q$1,0)+1)*$AI10</f>
        <v>0</v>
      </c>
      <c r="SN10" s="2" cm="1">
        <f t="array" ref="SN10">INDEX(增益!$A$2:$Q$40,SH10,MATCH(SN$8,增益!$B$1:$Q$1,0)+1)*$AI10</f>
        <v>0</v>
      </c>
      <c r="SO10" s="2" cm="1">
        <f t="array" ref="SO10">INDEX(增益!$A$2:$Q$40,SH10,MATCH(SO$8,增益!$B$1:$Q$1,0)+1)*$AI10</f>
        <v>0</v>
      </c>
      <c r="SP10" s="2" cm="1">
        <f t="array" ref="SP10">INDEX(增益!$A$2:$Q$40,SH10,MATCH(SP$8,增益!$B$1:$Q$1,0)+1)*$AI10</f>
        <v>0</v>
      </c>
      <c r="SQ10" s="2" cm="1">
        <f t="array" ref="SQ10">INDEX(增益!$A$2:$Q$40,SH10,MATCH(SQ$8,增益!$B$1:$Q$1,0)+1)*$AI10</f>
        <v>0</v>
      </c>
      <c r="SR10" s="2" cm="1">
        <f t="array" ref="SR10">INDEX(增益!$A$2:$Q$40,SH10,MATCH(SR$8,增益!$B$1:$Q$1,0)+1)*$AI10</f>
        <v>0</v>
      </c>
      <c r="SS10" s="2" cm="1">
        <f t="array" ref="SS10">INDEX(动作!$O$3:$O$113,SH5)</f>
        <v>0</v>
      </c>
      <c r="ST10" s="2" cm="1">
        <f t="array" ref="ST10">INDEX(动作!$P$3:$P$113,SH5)</f>
        <v>0</v>
      </c>
      <c r="SU10" s="2" cm="1">
        <f t="array" ref="SU10">INDEX(动作!$Q$3:$Q$113,SH5)</f>
        <v>0</v>
      </c>
      <c r="SV10" s="2" cm="1">
        <f t="array" ref="SV10">INDEX(动作!$R$3:$R$113,SH5)</f>
        <v>0</v>
      </c>
      <c r="SW10" s="2" cm="1">
        <f t="array" ref="SW10">INDEX(动作!$S$3:$S$113,SH5)</f>
        <v>0</v>
      </c>
      <c r="SY10" s="2" cm="1">
        <f t="array" ref="SY10">INDEX(增益!$A$2:$Q$40,SH10,MATCH(SY$8,增益!$B$1:$Q$1,0)+1)*$AI10</f>
        <v>0</v>
      </c>
      <c r="SZ10" s="2" cm="1">
        <f t="array" ref="SZ10">INDEX(增益!$A$2:$Q$40,SH10,MATCH(SZ$8,增益!$B$1:$Q$1,0)+1)*$AI10</f>
        <v>0</v>
      </c>
      <c r="TA10" s="2" cm="1">
        <f t="array" ref="TA10">INDEX(增益!$A$2:$Q$40,SH10,MATCH(TA$8,增益!$B$1:$Q$1,0)+1)*$AI10</f>
        <v>0</v>
      </c>
      <c r="TC10" s="2" cm="1">
        <f t="array" ref="TC10">INDEX(增益!$A$2:$Q$40,SH10,MATCH(TC$8,增益!$B$1:$Q$1,0)+1)*$AI10</f>
        <v>0</v>
      </c>
      <c r="TE10" s="2" cm="1">
        <f t="array" ref="TE10">INDEX(增益!$A$2:$Q$40,SH10,MATCH(TE$8,增益!$B$1:$Q$1,0)+1)*$AI10</f>
        <v>0</v>
      </c>
      <c r="TF10" s="2" cm="1">
        <f t="array" ref="TF10">INDEX(增益!$A$2:$Q$40,SH10,MATCH(TF$8,增益!$B$1:$Q$1,0)+1)*$AI10</f>
        <v>0</v>
      </c>
      <c r="TJ10" s="2" cm="1">
        <f t="array" ref="TJ10">INDEX(云配队!$J15:$AC15,1,TJ$1)</f>
        <v>0</v>
      </c>
      <c r="TK10" s="2">
        <f>IFERROR(MATCH(TJ10,增益!$A$2:$A$40,FALSE),1)</f>
        <v>1</v>
      </c>
      <c r="TL10" s="2" cm="1">
        <f t="array" ref="TL10">INDEX(增益!$A$2:$Q$40,TK10,MATCH(TL$8,增益!$B$1:$Q$1,0)+1)*$AI10</f>
        <v>0</v>
      </c>
      <c r="TM10" s="2" cm="1">
        <f t="array" ref="TM10">INDEX(增益!$A$2:$Q$40,TK10,MATCH(TM$8,增益!$B$1:$Q$1,0)+1)*$AI10</f>
        <v>0</v>
      </c>
      <c r="TN10" s="2" cm="1">
        <f t="array" ref="TN10">INDEX(增益!$A$2:$Q$40,TK10,MATCH(TN$8,增益!$B$1:$Q$1,0)+1)*$AI10</f>
        <v>0</v>
      </c>
      <c r="TO10" s="2" cm="1">
        <f t="array" ref="TO10">INDEX(增益!$A$2:$Q$40,TK10,MATCH(TO$8,增益!$B$1:$Q$1,0)+1)*$AI10</f>
        <v>0</v>
      </c>
      <c r="TP10" s="2" cm="1">
        <f t="array" ref="TP10">INDEX(增益!$A$2:$Q$40,TK10,MATCH(TP$8,增益!$B$1:$Q$1,0)+1)*$AI10</f>
        <v>0</v>
      </c>
      <c r="TQ10" s="2" cm="1">
        <f t="array" ref="TQ10">INDEX(增益!$A$2:$Q$40,TK10,MATCH(TQ$8,增益!$B$1:$Q$1,0)+1)*$AI10</f>
        <v>0</v>
      </c>
      <c r="TR10" s="2" cm="1">
        <f t="array" ref="TR10">INDEX(增益!$A$2:$Q$40,TK10,MATCH(TR$8,增益!$B$1:$Q$1,0)+1)*$AI10</f>
        <v>0</v>
      </c>
      <c r="TS10" s="2" cm="1">
        <f t="array" ref="TS10">INDEX(增益!$A$2:$Q$40,TK10,MATCH(TS$8,增益!$B$1:$Q$1,0)+1)*$AI10</f>
        <v>0</v>
      </c>
      <c r="TT10" s="2" cm="1">
        <f t="array" ref="TT10">INDEX(增益!$A$2:$Q$40,TK10,MATCH(TT$8,增益!$B$1:$Q$1,0)+1)*$AI10</f>
        <v>0</v>
      </c>
      <c r="TU10" s="2" cm="1">
        <f t="array" ref="TU10">INDEX(增益!$A$2:$Q$40,TK10,MATCH(TU$8,增益!$B$1:$Q$1,0)+1)*$AI10</f>
        <v>0</v>
      </c>
      <c r="TV10" s="2" cm="1">
        <f t="array" ref="TV10">INDEX(动作!$O$3:$O$113,TK5)</f>
        <v>0</v>
      </c>
      <c r="TW10" s="2" cm="1">
        <f t="array" ref="TW10">INDEX(动作!$P$3:$P$113,TK5)</f>
        <v>0</v>
      </c>
      <c r="TX10" s="2" cm="1">
        <f t="array" ref="TX10">INDEX(动作!$Q$3:$Q$113,TK5)</f>
        <v>0</v>
      </c>
      <c r="TY10" s="2" cm="1">
        <f t="array" ref="TY10">INDEX(动作!$R$3:$R$113,TK5)</f>
        <v>0</v>
      </c>
      <c r="TZ10" s="2" cm="1">
        <f t="array" ref="TZ10">INDEX(动作!$S$3:$S$113,TK5)</f>
        <v>0</v>
      </c>
      <c r="UB10" s="2" cm="1">
        <f t="array" ref="UB10">INDEX(增益!$A$2:$Q$40,TK10,MATCH(UB$8,增益!$B$1:$Q$1,0)+1)*$AI10</f>
        <v>0</v>
      </c>
      <c r="UC10" s="2" cm="1">
        <f t="array" ref="UC10">INDEX(增益!$A$2:$Q$40,TK10,MATCH(UC$8,增益!$B$1:$Q$1,0)+1)*$AI10</f>
        <v>0</v>
      </c>
      <c r="UD10" s="2" cm="1">
        <f t="array" ref="UD10">INDEX(增益!$A$2:$Q$40,TK10,MATCH(UD$8,增益!$B$1:$Q$1,0)+1)*$AI10</f>
        <v>0</v>
      </c>
      <c r="UF10" s="2" cm="1">
        <f t="array" ref="UF10">INDEX(增益!$A$2:$Q$40,TK10,MATCH(UF$8,增益!$B$1:$Q$1,0)+1)*$AI10</f>
        <v>0</v>
      </c>
      <c r="UH10" s="2" cm="1">
        <f t="array" ref="UH10">INDEX(增益!$A$2:$Q$40,TK10,MATCH(UH$8,增益!$B$1:$Q$1,0)+1)*$AI10</f>
        <v>0</v>
      </c>
      <c r="UI10" s="2" cm="1">
        <f t="array" ref="UI10">INDEX(增益!$A$2:$Q$40,TK10,MATCH(UI$8,增益!$B$1:$Q$1,0)+1)*$AI10</f>
        <v>0</v>
      </c>
      <c r="UM10" s="2" cm="1">
        <f t="array" ref="UM10">INDEX(云配队!$J15:$AC15,1,UM$1)</f>
        <v>0</v>
      </c>
      <c r="UN10" s="2">
        <f>IFERROR(MATCH(UM10,增益!$A$2:$A$40,FALSE),1)</f>
        <v>1</v>
      </c>
      <c r="UO10" s="2" cm="1">
        <f t="array" ref="UO10">INDEX(增益!$A$2:$Q$40,UN10,MATCH(UO$8,增益!$B$1:$Q$1,0)+1)*$AI10</f>
        <v>0</v>
      </c>
      <c r="UP10" s="2" cm="1">
        <f t="array" ref="UP10">INDEX(增益!$A$2:$Q$40,UN10,MATCH(UP$8,增益!$B$1:$Q$1,0)+1)*$AI10</f>
        <v>0</v>
      </c>
      <c r="UQ10" s="2" cm="1">
        <f t="array" ref="UQ10">INDEX(增益!$A$2:$Q$40,UN10,MATCH(UQ$8,增益!$B$1:$Q$1,0)+1)*$AI10</f>
        <v>0</v>
      </c>
      <c r="UR10" s="2" cm="1">
        <f t="array" ref="UR10">INDEX(增益!$A$2:$Q$40,UN10,MATCH(UR$8,增益!$B$1:$Q$1,0)+1)*$AI10</f>
        <v>0</v>
      </c>
      <c r="US10" s="2" cm="1">
        <f t="array" ref="US10">INDEX(增益!$A$2:$Q$40,UN10,MATCH(US$8,增益!$B$1:$Q$1,0)+1)*$AI10</f>
        <v>0</v>
      </c>
      <c r="UT10" s="2" cm="1">
        <f t="array" ref="UT10">INDEX(增益!$A$2:$Q$40,UN10,MATCH(UT$8,增益!$B$1:$Q$1,0)+1)*$AI10</f>
        <v>0</v>
      </c>
      <c r="UU10" s="2" cm="1">
        <f t="array" ref="UU10">INDEX(增益!$A$2:$Q$40,UN10,MATCH(UU$8,增益!$B$1:$Q$1,0)+1)*$AI10</f>
        <v>0</v>
      </c>
      <c r="UV10" s="2" cm="1">
        <f t="array" ref="UV10">INDEX(增益!$A$2:$Q$40,UN10,MATCH(UV$8,增益!$B$1:$Q$1,0)+1)*$AI10</f>
        <v>0</v>
      </c>
      <c r="UW10" s="2" cm="1">
        <f t="array" ref="UW10">INDEX(增益!$A$2:$Q$40,UN10,MATCH(UW$8,增益!$B$1:$Q$1,0)+1)*$AI10</f>
        <v>0</v>
      </c>
      <c r="UX10" s="2" cm="1">
        <f t="array" ref="UX10">INDEX(增益!$A$2:$Q$40,UN10,MATCH(UX$8,增益!$B$1:$Q$1,0)+1)*$AI10</f>
        <v>0</v>
      </c>
      <c r="UY10" s="2" cm="1">
        <f t="array" ref="UY10">INDEX(动作!$O$3:$O$113,UN5)</f>
        <v>0</v>
      </c>
      <c r="UZ10" s="2" cm="1">
        <f t="array" ref="UZ10">INDEX(动作!$P$3:$P$113,UN5)</f>
        <v>0</v>
      </c>
      <c r="VA10" s="2" cm="1">
        <f t="array" ref="VA10">INDEX(动作!$Q$3:$Q$113,UN5)</f>
        <v>0</v>
      </c>
      <c r="VB10" s="2" cm="1">
        <f t="array" ref="VB10">INDEX(动作!$R$3:$R$113,UN5)</f>
        <v>0</v>
      </c>
      <c r="VC10" s="2" cm="1">
        <f t="array" ref="VC10">INDEX(动作!$S$3:$S$113,UN5)</f>
        <v>0</v>
      </c>
      <c r="VE10" s="2" cm="1">
        <f t="array" ref="VE10">INDEX(增益!$A$2:$Q$40,UN10,MATCH(VE$8,增益!$B$1:$Q$1,0)+1)*$AI10</f>
        <v>0</v>
      </c>
      <c r="VF10" s="2" cm="1">
        <f t="array" ref="VF10">INDEX(增益!$A$2:$Q$40,UN10,MATCH(VF$8,增益!$B$1:$Q$1,0)+1)*$AI10</f>
        <v>0</v>
      </c>
      <c r="VG10" s="2" cm="1">
        <f t="array" ref="VG10">INDEX(增益!$A$2:$Q$40,UN10,MATCH(VG$8,增益!$B$1:$Q$1,0)+1)*$AI10</f>
        <v>0</v>
      </c>
      <c r="VI10" s="2" cm="1">
        <f t="array" ref="VI10">INDEX(增益!$A$2:$Q$40,UN10,MATCH(VI$8,增益!$B$1:$Q$1,0)+1)*$AI10</f>
        <v>0</v>
      </c>
      <c r="VK10" s="2" cm="1">
        <f t="array" ref="VK10">INDEX(增益!$A$2:$Q$40,UN10,MATCH(VK$8,增益!$B$1:$Q$1,0)+1)*$AI10</f>
        <v>0</v>
      </c>
      <c r="VL10" s="2" cm="1">
        <f t="array" ref="VL10">INDEX(增益!$A$2:$Q$40,UN10,MATCH(VL$8,增益!$B$1:$Q$1,0)+1)*$AI10</f>
        <v>0</v>
      </c>
      <c r="VP10" s="2" cm="1">
        <f t="array" ref="VP10">INDEX(云配队!$J15:$AC15,1,VP$1)</f>
        <v>0</v>
      </c>
      <c r="VQ10" s="2">
        <f>IFERROR(MATCH(VP10,增益!$A$2:$A$40,FALSE),1)</f>
        <v>1</v>
      </c>
      <c r="VR10" s="2" cm="1">
        <f t="array" ref="VR10">INDEX(增益!$A$2:$Q$40,VQ10,MATCH(VR$8,增益!$B$1:$Q$1,0)+1)*$AI10</f>
        <v>0</v>
      </c>
      <c r="VS10" s="2" cm="1">
        <f t="array" ref="VS10">INDEX(增益!$A$2:$Q$40,VQ10,MATCH(VS$8,增益!$B$1:$Q$1,0)+1)*$AI10</f>
        <v>0</v>
      </c>
      <c r="VT10" s="2" cm="1">
        <f t="array" ref="VT10">INDEX(增益!$A$2:$Q$40,VQ10,MATCH(VT$8,增益!$B$1:$Q$1,0)+1)*$AI10</f>
        <v>0</v>
      </c>
      <c r="VU10" s="2" cm="1">
        <f t="array" ref="VU10">INDEX(增益!$A$2:$Q$40,VQ10,MATCH(VU$8,增益!$B$1:$Q$1,0)+1)*$AI10</f>
        <v>0</v>
      </c>
      <c r="VV10" s="2" cm="1">
        <f t="array" ref="VV10">INDEX(增益!$A$2:$Q$40,VQ10,MATCH(VV$8,增益!$B$1:$Q$1,0)+1)*$AI10</f>
        <v>0</v>
      </c>
      <c r="VW10" s="2" cm="1">
        <f t="array" ref="VW10">INDEX(增益!$A$2:$Q$40,VQ10,MATCH(VW$8,增益!$B$1:$Q$1,0)+1)*$AI10</f>
        <v>0</v>
      </c>
      <c r="VX10" s="2" cm="1">
        <f t="array" ref="VX10">INDEX(增益!$A$2:$Q$40,VQ10,MATCH(VX$8,增益!$B$1:$Q$1,0)+1)*$AI10</f>
        <v>0</v>
      </c>
      <c r="VY10" s="2" cm="1">
        <f t="array" ref="VY10">INDEX(增益!$A$2:$Q$40,VQ10,MATCH(VY$8,增益!$B$1:$Q$1,0)+1)*$AI10</f>
        <v>0</v>
      </c>
      <c r="VZ10" s="2" cm="1">
        <f t="array" ref="VZ10">INDEX(增益!$A$2:$Q$40,VQ10,MATCH(VZ$8,增益!$B$1:$Q$1,0)+1)*$AI10</f>
        <v>0</v>
      </c>
      <c r="WA10" s="2" cm="1">
        <f t="array" ref="WA10">INDEX(增益!$A$2:$Q$40,VQ10,MATCH(WA$8,增益!$B$1:$Q$1,0)+1)*$AI10</f>
        <v>0</v>
      </c>
      <c r="WB10" s="2" cm="1">
        <f t="array" ref="WB10">INDEX(动作!$O$3:$O$113,VQ5)</f>
        <v>0</v>
      </c>
      <c r="WC10" s="2" cm="1">
        <f t="array" ref="WC10">INDEX(动作!$P$3:$P$113,VQ5)</f>
        <v>0</v>
      </c>
      <c r="WD10" s="2" cm="1">
        <f t="array" ref="WD10">INDEX(动作!$Q$3:$Q$113,VQ5)</f>
        <v>0</v>
      </c>
      <c r="WE10" s="2" cm="1">
        <f t="array" ref="WE10">INDEX(动作!$R$3:$R$113,VQ5)</f>
        <v>0</v>
      </c>
      <c r="WF10" s="2" cm="1">
        <f t="array" ref="WF10">INDEX(动作!$S$3:$S$113,VQ5)</f>
        <v>0</v>
      </c>
      <c r="WH10" s="2" cm="1">
        <f t="array" ref="WH10">INDEX(增益!$A$2:$Q$40,VQ10,MATCH(WH$8,增益!$B$1:$Q$1,0)+1)*$AI10</f>
        <v>0</v>
      </c>
      <c r="WI10" s="2" cm="1">
        <f t="array" ref="WI10">INDEX(增益!$A$2:$Q$40,VQ10,MATCH(WI$8,增益!$B$1:$Q$1,0)+1)*$AI10</f>
        <v>0</v>
      </c>
      <c r="WJ10" s="2" cm="1">
        <f t="array" ref="WJ10">INDEX(增益!$A$2:$Q$40,VQ10,MATCH(WJ$8,增益!$B$1:$Q$1,0)+1)*$AI10</f>
        <v>0</v>
      </c>
      <c r="WL10" s="2" cm="1">
        <f t="array" ref="WL10">INDEX(增益!$A$2:$Q$40,VQ10,MATCH(WL$8,增益!$B$1:$Q$1,0)+1)*$AI10</f>
        <v>0</v>
      </c>
      <c r="WN10" s="2" cm="1">
        <f t="array" ref="WN10">INDEX(增益!$A$2:$Q$40,VQ10,MATCH(WN$8,增益!$B$1:$Q$1,0)+1)*$AI10</f>
        <v>0</v>
      </c>
      <c r="WO10" s="2" cm="1">
        <f t="array" ref="WO10">INDEX(增益!$A$2:$Q$40,VQ10,MATCH(WO$8,增益!$B$1:$Q$1,0)+1)*$AI10</f>
        <v>0</v>
      </c>
    </row>
    <row r="11" spans="1:616">
      <c r="T11" s="2">
        <v>1</v>
      </c>
      <c r="U11" s="5"/>
      <c r="Y11" s="2">
        <f>$X$10*(1+V5/360)</f>
        <v>38593.591160221</v>
      </c>
      <c r="AI11" s="2">
        <f>IF(云配队!H16&gt;0,云配队!H16,1)</f>
        <v>0.5</v>
      </c>
      <c r="AK11" s="2" cm="1">
        <f t="array" ref="AK11">INDEX(云配队!$J16:$AC16,1,AK$1)</f>
        <v>0</v>
      </c>
      <c r="AL11" s="2">
        <f>IFERROR(MATCH(AK11,增益!$A$2:$A$40,FALSE),1)</f>
        <v>1</v>
      </c>
      <c r="AM11" s="2" cm="1">
        <f t="array" ref="AM11">INDEX(增益!$A$2:$Q$40,AL11,MATCH(AM$8,增益!$B$1:$Q$1,0)+1)*$AI11</f>
        <v>0</v>
      </c>
      <c r="AN11" s="2" cm="1">
        <f t="array" ref="AN11">INDEX(增益!$A$2:$Q$40,AL11,MATCH(AN$8,增益!$B$1:$Q$1,0)+1)*$AI11</f>
        <v>0</v>
      </c>
      <c r="AO11" s="2" cm="1">
        <f t="array" ref="AO11">INDEX(增益!$A$2:$Q$40,AL11,MATCH(AO$8,增益!$B$1:$Q$1,0)+1)*$AI11</f>
        <v>0</v>
      </c>
      <c r="AP11" s="2" cm="1">
        <f t="array" ref="AP11">INDEX(增益!$A$2:$Q$40,AL11,MATCH(AP$8,增益!$B$1:$Q$1,0)+1)*$AI11</f>
        <v>0</v>
      </c>
      <c r="AQ11" s="2" cm="1">
        <f t="array" ref="AQ11">INDEX(增益!$A$2:$Q$40,AL11,MATCH(AQ$8,增益!$B$1:$Q$1,0)+1)*$AI11</f>
        <v>0</v>
      </c>
      <c r="AR11" s="2" cm="1">
        <f t="array" ref="AR11">INDEX(增益!$A$2:$Q$40,AL11,MATCH(AR$8,增益!$B$1:$Q$1,0)+1)*$AI11</f>
        <v>0</v>
      </c>
      <c r="AS11" s="2" cm="1">
        <f t="array" ref="AS11">INDEX(增益!$A$2:$Q$40,AL11,MATCH(AS$8,增益!$B$1:$Q$1,0)+1)*$AI11</f>
        <v>0</v>
      </c>
      <c r="AT11" s="2" cm="1">
        <f t="array" ref="AT11">INDEX(增益!$A$2:$Q$40,AL11,MATCH(AT$8,增益!$B$1:$Q$1,0)+1)*$AI11</f>
        <v>0</v>
      </c>
      <c r="AU11" s="2" cm="1">
        <f t="array" ref="AU11">INDEX(增益!$A$2:$Q$40,AL11,MATCH(AU$8,增益!$B$1:$Q$1,0)+1)*$AI11</f>
        <v>0</v>
      </c>
      <c r="AV11" s="2" cm="1">
        <f t="array" ref="AV11">INDEX(增益!$A$2:$Q$40,AL11,MATCH(AV$8,增益!$B$1:$Q$1,0)+1)*$AI11</f>
        <v>0</v>
      </c>
      <c r="AW11" s="2" cm="1">
        <f t="array" ref="AW11">INDEX(动作!$O$3:$O$113,AL6)</f>
        <v>0</v>
      </c>
      <c r="AX11" s="2" cm="1">
        <f t="array" ref="AX11">INDEX(动作!$P$3:$P$113,AL6)</f>
        <v>0</v>
      </c>
      <c r="AY11" s="2" cm="1">
        <f t="array" ref="AY11">INDEX(动作!$Q$3:$Q$113,AL6)</f>
        <v>0</v>
      </c>
      <c r="AZ11" s="2" cm="1">
        <f t="array" ref="AZ11">INDEX(动作!$R$3:$R$113,AL6)</f>
        <v>0</v>
      </c>
      <c r="BA11" s="2" cm="1">
        <f t="array" ref="BA11">INDEX(动作!$S$3:$S$113,AL6)</f>
        <v>0</v>
      </c>
      <c r="BC11" s="2" cm="1">
        <f t="array" ref="BC11">INDEX(增益!$A$2:$Q$40,AL11,MATCH(BC$8,增益!$B$1:$Q$1,0)+1)*$AI11</f>
        <v>0</v>
      </c>
      <c r="BD11" s="2" cm="1">
        <f t="array" ref="BD11">INDEX(增益!$A$2:$Q$40,AL11,MATCH(BD$8,增益!$B$1:$Q$1,0)+1)*$AI11</f>
        <v>0</v>
      </c>
      <c r="BE11" s="2" cm="1">
        <f t="array" ref="BE11">INDEX(增益!$A$2:$Q$40,AL11,MATCH(BE$8,增益!$B$1:$Q$1,0)+1)*$AI11</f>
        <v>0</v>
      </c>
      <c r="BG11" s="2" cm="1">
        <f t="array" ref="BG11">INDEX(增益!$A$2:$Q$40,AL11,MATCH(BG$8,增益!$B$1:$Q$1,0)+1)*$AI11</f>
        <v>0</v>
      </c>
      <c r="BI11" s="2" cm="1">
        <f t="array" ref="BI11">INDEX(增益!$A$2:$Q$40,AL11,MATCH(BI$8,增益!$B$1:$Q$1,0)+1)*$AI11</f>
        <v>0</v>
      </c>
      <c r="BJ11" s="2" cm="1">
        <f t="array" ref="BJ11">INDEX(增益!$A$2:$Q$40,AL11,MATCH(BJ$8,增益!$B$1:$Q$1,0)+1)*$AI11</f>
        <v>0</v>
      </c>
      <c r="BN11" s="2" cm="1">
        <f t="array" ref="BN11">INDEX(云配队!$J16:$AC16,1,BN$1)</f>
        <v>0</v>
      </c>
      <c r="BO11" s="2">
        <f>IFERROR(MATCH(BN11,增益!$A$2:$A$40,FALSE),1)</f>
        <v>1</v>
      </c>
      <c r="BP11" s="2" cm="1">
        <f t="array" ref="BP11">INDEX(增益!$A$2:$Q$40,BO11,MATCH(BP$8,增益!$B$1:$Q$1,0)+1)*$AI11</f>
        <v>0</v>
      </c>
      <c r="BQ11" s="2" cm="1">
        <f t="array" ref="BQ11">INDEX(增益!$A$2:$Q$40,BO11,MATCH(BQ$8,增益!$B$1:$Q$1,0)+1)*$AI11</f>
        <v>0</v>
      </c>
      <c r="BR11" s="2" cm="1">
        <f t="array" ref="BR11">INDEX(增益!$A$2:$Q$40,BO11,MATCH(BR$8,增益!$B$1:$Q$1,0)+1)*$AI11</f>
        <v>0</v>
      </c>
      <c r="BS11" s="2" cm="1">
        <f t="array" ref="BS11">INDEX(增益!$A$2:$Q$40,BO11,MATCH(BS$8,增益!$B$1:$Q$1,0)+1)*$AI11</f>
        <v>0</v>
      </c>
      <c r="BT11" s="2" cm="1">
        <f t="array" ref="BT11">INDEX(增益!$A$2:$Q$40,BO11,MATCH(BT$8,增益!$B$1:$Q$1,0)+1)*$AI11</f>
        <v>0</v>
      </c>
      <c r="BU11" s="2" cm="1">
        <f t="array" ref="BU11">INDEX(增益!$A$2:$Q$40,BO11,MATCH(BU$8,增益!$B$1:$Q$1,0)+1)*$AI11</f>
        <v>0</v>
      </c>
      <c r="BV11" s="2" cm="1">
        <f t="array" ref="BV11">INDEX(增益!$A$2:$Q$40,BO11,MATCH(BV$8,增益!$B$1:$Q$1,0)+1)*$AI11</f>
        <v>0</v>
      </c>
      <c r="BW11" s="2" cm="1">
        <f t="array" ref="BW11">INDEX(增益!$A$2:$Q$40,BO11,MATCH(BW$8,增益!$B$1:$Q$1,0)+1)*$AI11</f>
        <v>0</v>
      </c>
      <c r="BX11" s="2" cm="1">
        <f t="array" ref="BX11">INDEX(增益!$A$2:$Q$40,BO11,MATCH(BX$8,增益!$B$1:$Q$1,0)+1)*$AI11</f>
        <v>0</v>
      </c>
      <c r="BY11" s="2" cm="1">
        <f t="array" ref="BY11">INDEX(增益!$A$2:$Q$40,BO11,MATCH(BY$8,增益!$B$1:$Q$1,0)+1)*$AI11</f>
        <v>0</v>
      </c>
      <c r="BZ11" s="2" cm="1">
        <f t="array" ref="BZ11">INDEX(动作!$O$3:$O$113,BO6)</f>
        <v>0</v>
      </c>
      <c r="CA11" s="2" cm="1">
        <f t="array" ref="CA11">INDEX(动作!$P$3:$P$113,BO6)</f>
        <v>0</v>
      </c>
      <c r="CB11" s="2" cm="1">
        <f t="array" ref="CB11">INDEX(动作!$Q$3:$Q$113,BO6)</f>
        <v>0</v>
      </c>
      <c r="CC11" s="2" cm="1">
        <f t="array" ref="CC11">INDEX(动作!$R$3:$R$113,BO6)</f>
        <v>0</v>
      </c>
      <c r="CD11" s="2" cm="1">
        <f t="array" ref="CD11">INDEX(动作!$S$3:$S$113,BO6)</f>
        <v>0</v>
      </c>
      <c r="CF11" s="2" cm="1">
        <f t="array" ref="CF11">INDEX(增益!$A$2:$Q$40,BO11,MATCH(CF$8,增益!$B$1:$Q$1,0)+1)*$AI11</f>
        <v>0</v>
      </c>
      <c r="CG11" s="2" cm="1">
        <f t="array" ref="CG11">INDEX(增益!$A$2:$Q$40,BO11,MATCH(CG$8,增益!$B$1:$Q$1,0)+1)*$AI11</f>
        <v>0</v>
      </c>
      <c r="CH11" s="2" cm="1">
        <f t="array" ref="CH11">INDEX(增益!$A$2:$Q$40,BO11,MATCH(CH$8,增益!$B$1:$Q$1,0)+1)*$AI11</f>
        <v>0</v>
      </c>
      <c r="CJ11" s="2" cm="1">
        <f t="array" ref="CJ11">INDEX(增益!$A$2:$Q$40,BO11,MATCH(CJ$8,增益!$B$1:$Q$1,0)+1)*$AI11</f>
        <v>0</v>
      </c>
      <c r="CL11" s="2" cm="1">
        <f t="array" ref="CL11">INDEX(增益!$A$2:$Q$40,BO11,MATCH(CL$8,增益!$B$1:$Q$1,0)+1)*$AI11</f>
        <v>0</v>
      </c>
      <c r="CM11" s="2" cm="1">
        <f t="array" ref="CM11">INDEX(增益!$A$2:$Q$40,BO11,MATCH(CM$8,增益!$B$1:$Q$1,0)+1)*$AI11</f>
        <v>0</v>
      </c>
      <c r="CQ11" s="2" cm="1">
        <f t="array" ref="CQ11">INDEX(云配队!$J16:$AC16,1,CQ$1)</f>
        <v>0</v>
      </c>
      <c r="CR11" s="2">
        <f>IFERROR(MATCH(CQ11,增益!$A$2:$A$40,FALSE),1)</f>
        <v>1</v>
      </c>
      <c r="CS11" s="2" cm="1">
        <f t="array" ref="CS11">INDEX(增益!$A$2:$Q$40,CR11,MATCH(CS$8,增益!$B$1:$Q$1,0)+1)*$AI11</f>
        <v>0</v>
      </c>
      <c r="CT11" s="2" cm="1">
        <f t="array" ref="CT11">INDEX(增益!$A$2:$Q$40,CR11,MATCH(CT$8,增益!$B$1:$Q$1,0)+1)*$AI11</f>
        <v>0</v>
      </c>
      <c r="CU11" s="2" cm="1">
        <f t="array" ref="CU11">INDEX(增益!$A$2:$Q$40,CR11,MATCH(CU$8,增益!$B$1:$Q$1,0)+1)*$AI11</f>
        <v>0</v>
      </c>
      <c r="CV11" s="2" cm="1">
        <f t="array" ref="CV11">INDEX(增益!$A$2:$Q$40,CR11,MATCH(CV$8,增益!$B$1:$Q$1,0)+1)*$AI11</f>
        <v>0</v>
      </c>
      <c r="CW11" s="2" cm="1">
        <f t="array" ref="CW11">INDEX(增益!$A$2:$Q$40,CR11,MATCH(CW$8,增益!$B$1:$Q$1,0)+1)*$AI11</f>
        <v>0</v>
      </c>
      <c r="CX11" s="2" cm="1">
        <f t="array" ref="CX11">INDEX(增益!$A$2:$Q$40,CR11,MATCH(CX$8,增益!$B$1:$Q$1,0)+1)*$AI11</f>
        <v>0</v>
      </c>
      <c r="CY11" s="2" cm="1">
        <f t="array" ref="CY11">INDEX(增益!$A$2:$Q$40,CR11,MATCH(CY$8,增益!$B$1:$Q$1,0)+1)*$AI11</f>
        <v>0</v>
      </c>
      <c r="CZ11" s="2" cm="1">
        <f t="array" ref="CZ11">INDEX(增益!$A$2:$Q$40,CR11,MATCH(CZ$8,增益!$B$1:$Q$1,0)+1)*$AI11</f>
        <v>0</v>
      </c>
      <c r="DA11" s="2" cm="1">
        <f t="array" ref="DA11">INDEX(增益!$A$2:$Q$40,CR11,MATCH(DA$8,增益!$B$1:$Q$1,0)+1)*$AI11</f>
        <v>0</v>
      </c>
      <c r="DB11" s="2" cm="1">
        <f t="array" ref="DB11">INDEX(增益!$A$2:$Q$40,CR11,MATCH(DB$8,增益!$B$1:$Q$1,0)+1)*$AI11</f>
        <v>0</v>
      </c>
      <c r="DC11" s="2" cm="1">
        <f t="array" ref="DC11">INDEX(动作!$O$3:$O$113,CR6)</f>
        <v>0</v>
      </c>
      <c r="DD11" s="2" cm="1">
        <f t="array" ref="DD11">INDEX(动作!$P$3:$P$113,CR6)</f>
        <v>0</v>
      </c>
      <c r="DE11" s="2" cm="1">
        <f t="array" ref="DE11">INDEX(动作!$Q$3:$Q$113,CR6)</f>
        <v>0</v>
      </c>
      <c r="DF11" s="2" cm="1">
        <f t="array" ref="DF11">INDEX(动作!$R$3:$R$113,CR6)</f>
        <v>0</v>
      </c>
      <c r="DG11" s="2" cm="1">
        <f t="array" ref="DG11">INDEX(动作!$S$3:$S$113,CR6)</f>
        <v>0</v>
      </c>
      <c r="DI11" s="2" cm="1">
        <f t="array" ref="DI11">INDEX(增益!$A$2:$Q$40,CR11,MATCH(DI$8,增益!$B$1:$Q$1,0)+1)*$AI11</f>
        <v>0</v>
      </c>
      <c r="DJ11" s="2" cm="1">
        <f t="array" ref="DJ11">INDEX(增益!$A$2:$Q$40,CR11,MATCH(DJ$8,增益!$B$1:$Q$1,0)+1)*$AI11</f>
        <v>0</v>
      </c>
      <c r="DK11" s="2" cm="1">
        <f t="array" ref="DK11">INDEX(增益!$A$2:$Q$40,CR11,MATCH(DK$8,增益!$B$1:$Q$1,0)+1)*$AI11</f>
        <v>0</v>
      </c>
      <c r="DM11" s="2" cm="1">
        <f t="array" ref="DM11">INDEX(增益!$A$2:$Q$40,CR11,MATCH(DM$8,增益!$B$1:$Q$1,0)+1)*$AI11</f>
        <v>0</v>
      </c>
      <c r="DO11" s="2" cm="1">
        <f t="array" ref="DO11">INDEX(增益!$A$2:$Q$40,CR11,MATCH(DO$8,增益!$B$1:$Q$1,0)+1)*$AI11</f>
        <v>0</v>
      </c>
      <c r="DP11" s="2" cm="1">
        <f t="array" ref="DP11">INDEX(增益!$A$2:$Q$40,CR11,MATCH(DP$8,增益!$B$1:$Q$1,0)+1)*$AI11</f>
        <v>0</v>
      </c>
      <c r="DT11" s="2" cm="1">
        <f t="array" ref="DT11">INDEX(云配队!$J16:$AC16,1,DT$1)</f>
        <v>0</v>
      </c>
      <c r="DU11" s="2">
        <f>IFERROR(MATCH(DT11,增益!$A$2:$A$40,FALSE),1)</f>
        <v>1</v>
      </c>
      <c r="DV11" s="2" cm="1">
        <f t="array" ref="DV11">INDEX(增益!$A$2:$Q$40,DU11,MATCH(DV$8,增益!$B$1:$Q$1,0)+1)*$AI11</f>
        <v>0</v>
      </c>
      <c r="DW11" s="2" cm="1">
        <f t="array" ref="DW11">INDEX(增益!$A$2:$Q$40,DU11,MATCH(DW$8,增益!$B$1:$Q$1,0)+1)*$AI11</f>
        <v>0</v>
      </c>
      <c r="DX11" s="2" cm="1">
        <f t="array" ref="DX11">INDEX(增益!$A$2:$Q$40,DU11,MATCH(DX$8,增益!$B$1:$Q$1,0)+1)*$AI11</f>
        <v>0</v>
      </c>
      <c r="DY11" s="2" cm="1">
        <f t="array" ref="DY11">INDEX(增益!$A$2:$Q$40,DU11,MATCH(DY$8,增益!$B$1:$Q$1,0)+1)*$AI11</f>
        <v>0</v>
      </c>
      <c r="DZ11" s="2" cm="1">
        <f t="array" ref="DZ11">INDEX(增益!$A$2:$Q$40,DU11,MATCH(DZ$8,增益!$B$1:$Q$1,0)+1)*$AI11</f>
        <v>0</v>
      </c>
      <c r="EA11" s="2" cm="1">
        <f t="array" ref="EA11">INDEX(增益!$A$2:$Q$40,DU11,MATCH(EA$8,增益!$B$1:$Q$1,0)+1)*$AI11</f>
        <v>0</v>
      </c>
      <c r="EB11" s="2" cm="1">
        <f t="array" ref="EB11">INDEX(增益!$A$2:$Q$40,DU11,MATCH(EB$8,增益!$B$1:$Q$1,0)+1)*$AI11</f>
        <v>0</v>
      </c>
      <c r="EC11" s="2" cm="1">
        <f t="array" ref="EC11">INDEX(增益!$A$2:$Q$40,DU11,MATCH(EC$8,增益!$B$1:$Q$1,0)+1)*$AI11</f>
        <v>0</v>
      </c>
      <c r="ED11" s="2" cm="1">
        <f t="array" ref="ED11">INDEX(增益!$A$2:$Q$40,DU11,MATCH(ED$8,增益!$B$1:$Q$1,0)+1)*$AI11</f>
        <v>0</v>
      </c>
      <c r="EE11" s="2" cm="1">
        <f t="array" ref="EE11">INDEX(增益!$A$2:$Q$40,DU11,MATCH(EE$8,增益!$B$1:$Q$1,0)+1)*$AI11</f>
        <v>0</v>
      </c>
      <c r="EF11" s="2" cm="1">
        <f t="array" ref="EF11">INDEX(动作!$O$3:$O$113,DU6)</f>
        <v>0</v>
      </c>
      <c r="EG11" s="2" cm="1">
        <f t="array" ref="EG11">INDEX(动作!$P$3:$P$113,DU6)</f>
        <v>0</v>
      </c>
      <c r="EH11" s="2" cm="1">
        <f t="array" ref="EH11">INDEX(动作!$Q$3:$Q$113,DU6)</f>
        <v>0</v>
      </c>
      <c r="EI11" s="2" cm="1">
        <f t="array" ref="EI11">INDEX(动作!$R$3:$R$113,DU6)</f>
        <v>0</v>
      </c>
      <c r="EJ11" s="2" cm="1">
        <f t="array" ref="EJ11">INDEX(动作!$S$3:$S$113,DU6)</f>
        <v>0</v>
      </c>
      <c r="EL11" s="2" cm="1">
        <f t="array" ref="EL11">INDEX(增益!$A$2:$Q$40,DU11,MATCH(EL$8,增益!$B$1:$Q$1,0)+1)*$AI11</f>
        <v>0</v>
      </c>
      <c r="EM11" s="2" cm="1">
        <f t="array" ref="EM11">INDEX(增益!$A$2:$Q$40,DU11,MATCH(EM$8,增益!$B$1:$Q$1,0)+1)*$AI11</f>
        <v>0</v>
      </c>
      <c r="EN11" s="2" cm="1">
        <f t="array" ref="EN11">INDEX(增益!$A$2:$Q$40,DU11,MATCH(EN$8,增益!$B$1:$Q$1,0)+1)*$AI11</f>
        <v>0</v>
      </c>
      <c r="EP11" s="2" cm="1">
        <f t="array" ref="EP11">INDEX(增益!$A$2:$Q$40,DU11,MATCH(EP$8,增益!$B$1:$Q$1,0)+1)*$AI11</f>
        <v>0</v>
      </c>
      <c r="ER11" s="2" cm="1">
        <f t="array" ref="ER11">INDEX(增益!$A$2:$Q$40,DU11,MATCH(ER$8,增益!$B$1:$Q$1,0)+1)*$AI11</f>
        <v>0</v>
      </c>
      <c r="ES11" s="2" cm="1">
        <f t="array" ref="ES11">INDEX(增益!$A$2:$Q$40,DU11,MATCH(ES$8,增益!$B$1:$Q$1,0)+1)*$AI11</f>
        <v>0</v>
      </c>
      <c r="EW11" s="2" cm="1">
        <f t="array" ref="EW11">INDEX(云配队!$J16:$AC16,1,EW$1)</f>
        <v>0</v>
      </c>
      <c r="EX11" s="2">
        <f>IFERROR(MATCH(EW11,增益!$A$2:$A$40,FALSE),1)</f>
        <v>1</v>
      </c>
      <c r="EY11" s="2" cm="1">
        <f t="array" ref="EY11">INDEX(增益!$A$2:$Q$40,EX11,MATCH(EY$8,增益!$B$1:$Q$1,0)+1)*$AI11</f>
        <v>0</v>
      </c>
      <c r="EZ11" s="2" cm="1">
        <f t="array" ref="EZ11">INDEX(增益!$A$2:$Q$40,EX11,MATCH(EZ$8,增益!$B$1:$Q$1,0)+1)*$AI11</f>
        <v>0</v>
      </c>
      <c r="FA11" s="2" cm="1">
        <f t="array" ref="FA11">INDEX(增益!$A$2:$Q$40,EX11,MATCH(FA$8,增益!$B$1:$Q$1,0)+1)*$AI11</f>
        <v>0</v>
      </c>
      <c r="FB11" s="2" cm="1">
        <f t="array" ref="FB11">INDEX(增益!$A$2:$Q$40,EX11,MATCH(FB$8,增益!$B$1:$Q$1,0)+1)*$AI11</f>
        <v>0</v>
      </c>
      <c r="FC11" s="2" cm="1">
        <f t="array" ref="FC11">INDEX(增益!$A$2:$Q$40,EX11,MATCH(FC$8,增益!$B$1:$Q$1,0)+1)*$AI11</f>
        <v>0</v>
      </c>
      <c r="FD11" s="2" cm="1">
        <f t="array" ref="FD11">INDEX(增益!$A$2:$Q$40,EX11,MATCH(FD$8,增益!$B$1:$Q$1,0)+1)*$AI11</f>
        <v>0</v>
      </c>
      <c r="FE11" s="2" cm="1">
        <f t="array" ref="FE11">INDEX(增益!$A$2:$Q$40,EX11,MATCH(FE$8,增益!$B$1:$Q$1,0)+1)*$AI11</f>
        <v>0</v>
      </c>
      <c r="FF11" s="2" cm="1">
        <f t="array" ref="FF11">INDEX(增益!$A$2:$Q$40,EX11,MATCH(FF$8,增益!$B$1:$Q$1,0)+1)*$AI11</f>
        <v>0</v>
      </c>
      <c r="FG11" s="2" cm="1">
        <f t="array" ref="FG11">INDEX(增益!$A$2:$Q$40,EX11,MATCH(FG$8,增益!$B$1:$Q$1,0)+1)*$AI11</f>
        <v>0</v>
      </c>
      <c r="FH11" s="2" cm="1">
        <f t="array" ref="FH11">INDEX(增益!$A$2:$Q$40,EX11,MATCH(FH$8,增益!$B$1:$Q$1,0)+1)*$AI11</f>
        <v>0</v>
      </c>
      <c r="FI11" s="2" cm="1">
        <f t="array" ref="FI11">INDEX(动作!$O$3:$O$113,EX6)</f>
        <v>0</v>
      </c>
      <c r="FJ11" s="2" cm="1">
        <f t="array" ref="FJ11">INDEX(动作!$P$3:$P$113,EX6)</f>
        <v>0</v>
      </c>
      <c r="FK11" s="2" cm="1">
        <f t="array" ref="FK11">INDEX(动作!$Q$3:$Q$113,EX6)</f>
        <v>0</v>
      </c>
      <c r="FL11" s="2" cm="1">
        <f t="array" ref="FL11">INDEX(动作!$R$3:$R$113,EX6)</f>
        <v>0</v>
      </c>
      <c r="FM11" s="2" cm="1">
        <f t="array" ref="FM11">INDEX(动作!$S$3:$S$113,EX6)</f>
        <v>0</v>
      </c>
      <c r="FO11" s="2" cm="1">
        <f t="array" ref="FO11">INDEX(增益!$A$2:$Q$40,EX11,MATCH(FO$8,增益!$B$1:$Q$1,0)+1)*$AI11</f>
        <v>0</v>
      </c>
      <c r="FP11" s="2" cm="1">
        <f t="array" ref="FP11">INDEX(增益!$A$2:$Q$40,EX11,MATCH(FP$8,增益!$B$1:$Q$1,0)+1)*$AI11</f>
        <v>0</v>
      </c>
      <c r="FQ11" s="2" cm="1">
        <f t="array" ref="FQ11">INDEX(增益!$A$2:$Q$40,EX11,MATCH(FQ$8,增益!$B$1:$Q$1,0)+1)*$AI11</f>
        <v>0</v>
      </c>
      <c r="FS11" s="2" cm="1">
        <f t="array" ref="FS11">INDEX(增益!$A$2:$Q$40,EX11,MATCH(FS$8,增益!$B$1:$Q$1,0)+1)*$AI11</f>
        <v>0</v>
      </c>
      <c r="FU11" s="2" cm="1">
        <f t="array" ref="FU11">INDEX(增益!$A$2:$Q$40,EX11,MATCH(FU$8,增益!$B$1:$Q$1,0)+1)*$AI11</f>
        <v>0</v>
      </c>
      <c r="FV11" s="2" cm="1">
        <f t="array" ref="FV11">INDEX(增益!$A$2:$Q$40,EX11,MATCH(FV$8,增益!$B$1:$Q$1,0)+1)*$AI11</f>
        <v>0</v>
      </c>
      <c r="FZ11" s="2" cm="1">
        <f t="array" ref="FZ11">INDEX(云配队!$J16:$AC16,1,FZ$1)</f>
        <v>0</v>
      </c>
      <c r="GA11" s="2">
        <f>IFERROR(MATCH(FZ11,增益!$A$2:$A$40,FALSE),1)</f>
        <v>1</v>
      </c>
      <c r="GB11" s="2" cm="1">
        <f t="array" ref="GB11">INDEX(增益!$A$2:$Q$40,GA11,MATCH(GB$8,增益!$B$1:$Q$1,0)+1)*$AI11</f>
        <v>0</v>
      </c>
      <c r="GC11" s="2" cm="1">
        <f t="array" ref="GC11">INDEX(增益!$A$2:$Q$40,GA11,MATCH(GC$8,增益!$B$1:$Q$1,0)+1)*$AI11</f>
        <v>0</v>
      </c>
      <c r="GD11" s="2" cm="1">
        <f t="array" ref="GD11">INDEX(增益!$A$2:$Q$40,GA11,MATCH(GD$8,增益!$B$1:$Q$1,0)+1)*$AI11</f>
        <v>0</v>
      </c>
      <c r="GE11" s="2" cm="1">
        <f t="array" ref="GE11">INDEX(增益!$A$2:$Q$40,GA11,MATCH(GE$8,增益!$B$1:$Q$1,0)+1)*$AI11</f>
        <v>0</v>
      </c>
      <c r="GF11" s="2" cm="1">
        <f t="array" ref="GF11">INDEX(增益!$A$2:$Q$40,GA11,MATCH(GF$8,增益!$B$1:$Q$1,0)+1)*$AI11</f>
        <v>0</v>
      </c>
      <c r="GG11" s="2" cm="1">
        <f t="array" ref="GG11">INDEX(增益!$A$2:$Q$40,GA11,MATCH(GG$8,增益!$B$1:$Q$1,0)+1)*$AI11</f>
        <v>0</v>
      </c>
      <c r="GH11" s="2" cm="1">
        <f t="array" ref="GH11">INDEX(增益!$A$2:$Q$40,GA11,MATCH(GH$8,增益!$B$1:$Q$1,0)+1)*$AI11</f>
        <v>0</v>
      </c>
      <c r="GI11" s="2" cm="1">
        <f t="array" ref="GI11">INDEX(增益!$A$2:$Q$40,GA11,MATCH(GI$8,增益!$B$1:$Q$1,0)+1)*$AI11</f>
        <v>0</v>
      </c>
      <c r="GJ11" s="2" cm="1">
        <f t="array" ref="GJ11">INDEX(增益!$A$2:$Q$40,GA11,MATCH(GJ$8,增益!$B$1:$Q$1,0)+1)*$AI11</f>
        <v>0</v>
      </c>
      <c r="GK11" s="2" cm="1">
        <f t="array" ref="GK11">INDEX(增益!$A$2:$Q$40,GA11,MATCH(GK$8,增益!$B$1:$Q$1,0)+1)*$AI11</f>
        <v>0</v>
      </c>
      <c r="GL11" s="2" cm="1">
        <f t="array" ref="GL11">INDEX(动作!$O$3:$O$113,GA6)</f>
        <v>0</v>
      </c>
      <c r="GM11" s="2" cm="1">
        <f t="array" ref="GM11">INDEX(动作!$P$3:$P$113,GA6)</f>
        <v>0</v>
      </c>
      <c r="GN11" s="2" cm="1">
        <f t="array" ref="GN11">INDEX(动作!$Q$3:$Q$113,GA6)</f>
        <v>0</v>
      </c>
      <c r="GO11" s="2" cm="1">
        <f t="array" ref="GO11">INDEX(动作!$R$3:$R$113,GA6)</f>
        <v>0</v>
      </c>
      <c r="GP11" s="2" cm="1">
        <f t="array" ref="GP11">INDEX(动作!$S$3:$S$113,GA6)</f>
        <v>0</v>
      </c>
      <c r="GR11" s="2" cm="1">
        <f t="array" ref="GR11">INDEX(增益!$A$2:$Q$40,GA11,MATCH(GR$8,增益!$B$1:$Q$1,0)+1)*$AI11</f>
        <v>0</v>
      </c>
      <c r="GS11" s="2" cm="1">
        <f t="array" ref="GS11">INDEX(增益!$A$2:$Q$40,GA11,MATCH(GS$8,增益!$B$1:$Q$1,0)+1)*$AI11</f>
        <v>0</v>
      </c>
      <c r="GT11" s="2" cm="1">
        <f t="array" ref="GT11">INDEX(增益!$A$2:$Q$40,GA11,MATCH(GT$8,增益!$B$1:$Q$1,0)+1)*$AI11</f>
        <v>0</v>
      </c>
      <c r="GV11" s="2" cm="1">
        <f t="array" ref="GV11">INDEX(增益!$A$2:$Q$40,GA11,MATCH(GV$8,增益!$B$1:$Q$1,0)+1)*$AI11</f>
        <v>0</v>
      </c>
      <c r="GX11" s="2" cm="1">
        <f t="array" ref="GX11">INDEX(增益!$A$2:$Q$40,GA11,MATCH(GX$8,增益!$B$1:$Q$1,0)+1)*$AI11</f>
        <v>0</v>
      </c>
      <c r="GY11" s="2" cm="1">
        <f t="array" ref="GY11">INDEX(增益!$A$2:$Q$40,GA11,MATCH(GY$8,增益!$B$1:$Q$1,0)+1)*$AI11</f>
        <v>0</v>
      </c>
      <c r="HC11" s="2" cm="1">
        <f t="array" ref="HC11">INDEX(云配队!$J16:$AC16,1,HC$1)</f>
        <v>0</v>
      </c>
      <c r="HD11" s="2">
        <f>IFERROR(MATCH(HC11,增益!$A$2:$A$40,FALSE),1)</f>
        <v>1</v>
      </c>
      <c r="HE11" s="2" cm="1">
        <f t="array" ref="HE11">INDEX(增益!$A$2:$Q$40,HD11,MATCH(HE$8,增益!$B$1:$Q$1,0)+1)*$AI11</f>
        <v>0</v>
      </c>
      <c r="HF11" s="2" cm="1">
        <f t="array" ref="HF11">INDEX(增益!$A$2:$Q$40,HD11,MATCH(HF$8,增益!$B$1:$Q$1,0)+1)*$AI11</f>
        <v>0</v>
      </c>
      <c r="HG11" s="2" cm="1">
        <f t="array" ref="HG11">INDEX(增益!$A$2:$Q$40,HD11,MATCH(HG$8,增益!$B$1:$Q$1,0)+1)*$AI11</f>
        <v>0</v>
      </c>
      <c r="HH11" s="2" cm="1">
        <f t="array" ref="HH11">INDEX(增益!$A$2:$Q$40,HD11,MATCH(HH$8,增益!$B$1:$Q$1,0)+1)*$AI11</f>
        <v>0</v>
      </c>
      <c r="HI11" s="2" cm="1">
        <f t="array" ref="HI11">INDEX(增益!$A$2:$Q$40,HD11,MATCH(HI$8,增益!$B$1:$Q$1,0)+1)*$AI11</f>
        <v>0</v>
      </c>
      <c r="HJ11" s="2" cm="1">
        <f t="array" ref="HJ11">INDEX(增益!$A$2:$Q$40,HD11,MATCH(HJ$8,增益!$B$1:$Q$1,0)+1)*$AI11</f>
        <v>0</v>
      </c>
      <c r="HK11" s="2" cm="1">
        <f t="array" ref="HK11">INDEX(增益!$A$2:$Q$40,HD11,MATCH(HK$8,增益!$B$1:$Q$1,0)+1)*$AI11</f>
        <v>0</v>
      </c>
      <c r="HL11" s="2" cm="1">
        <f t="array" ref="HL11">INDEX(增益!$A$2:$Q$40,HD11,MATCH(HL$8,增益!$B$1:$Q$1,0)+1)*$AI11</f>
        <v>0</v>
      </c>
      <c r="HM11" s="2" cm="1">
        <f t="array" ref="HM11">INDEX(增益!$A$2:$Q$40,HD11,MATCH(HM$8,增益!$B$1:$Q$1,0)+1)*$AI11</f>
        <v>0</v>
      </c>
      <c r="HN11" s="2" cm="1">
        <f t="array" ref="HN11">INDEX(增益!$A$2:$Q$40,HD11,MATCH(HN$8,增益!$B$1:$Q$1,0)+1)*$AI11</f>
        <v>0</v>
      </c>
      <c r="HO11" s="2" cm="1">
        <f t="array" ref="HO11">INDEX(动作!$O$3:$O$113,HD6)</f>
        <v>0</v>
      </c>
      <c r="HP11" s="2" cm="1">
        <f t="array" ref="HP11">INDEX(动作!$P$3:$P$113,HD6)</f>
        <v>0</v>
      </c>
      <c r="HQ11" s="2" cm="1">
        <f t="array" ref="HQ11">INDEX(动作!$Q$3:$Q$113,HD6)</f>
        <v>0</v>
      </c>
      <c r="HR11" s="2" cm="1">
        <f t="array" ref="HR11">INDEX(动作!$R$3:$R$113,HD6)</f>
        <v>0</v>
      </c>
      <c r="HS11" s="2" cm="1">
        <f t="array" ref="HS11">INDEX(动作!$S$3:$S$113,HD6)</f>
        <v>0</v>
      </c>
      <c r="HU11" s="2" cm="1">
        <f t="array" ref="HU11">INDEX(增益!$A$2:$Q$40,HD11,MATCH(HU$8,增益!$B$1:$Q$1,0)+1)*$AI11</f>
        <v>0</v>
      </c>
      <c r="HV11" s="2" cm="1">
        <f t="array" ref="HV11">INDEX(增益!$A$2:$Q$40,HD11,MATCH(HV$8,增益!$B$1:$Q$1,0)+1)*$AI11</f>
        <v>0</v>
      </c>
      <c r="HW11" s="2" cm="1">
        <f t="array" ref="HW11">INDEX(增益!$A$2:$Q$40,HD11,MATCH(HW$8,增益!$B$1:$Q$1,0)+1)*$AI11</f>
        <v>0</v>
      </c>
      <c r="HY11" s="2" cm="1">
        <f t="array" ref="HY11">INDEX(增益!$A$2:$Q$40,HD11,MATCH(HY$8,增益!$B$1:$Q$1,0)+1)*$AI11</f>
        <v>0</v>
      </c>
      <c r="IA11" s="2" cm="1">
        <f t="array" ref="IA11">INDEX(增益!$A$2:$Q$40,HD11,MATCH(IA$8,增益!$B$1:$Q$1,0)+1)*$AI11</f>
        <v>0</v>
      </c>
      <c r="IB11" s="2" cm="1">
        <f t="array" ref="IB11">INDEX(增益!$A$2:$Q$40,HD11,MATCH(IB$8,增益!$B$1:$Q$1,0)+1)*$AI11</f>
        <v>0</v>
      </c>
      <c r="IF11" s="2" cm="1">
        <f t="array" ref="IF11">INDEX(云配队!$J16:$AC16,1,IF$1)</f>
        <v>0</v>
      </c>
      <c r="IG11" s="2">
        <f>IFERROR(MATCH(IF11,增益!$A$2:$A$40,FALSE),1)</f>
        <v>1</v>
      </c>
      <c r="IH11" s="2" cm="1">
        <f t="array" ref="IH11">INDEX(增益!$A$2:$Q$40,IG11,MATCH(IH$8,增益!$B$1:$Q$1,0)+1)*$AI11</f>
        <v>0</v>
      </c>
      <c r="II11" s="2" cm="1">
        <f t="array" ref="II11">INDEX(增益!$A$2:$Q$40,IG11,MATCH(II$8,增益!$B$1:$Q$1,0)+1)*$AI11</f>
        <v>0</v>
      </c>
      <c r="IJ11" s="2" cm="1">
        <f t="array" ref="IJ11">INDEX(增益!$A$2:$Q$40,IG11,MATCH(IJ$8,增益!$B$1:$Q$1,0)+1)*$AI11</f>
        <v>0</v>
      </c>
      <c r="IK11" s="2" cm="1">
        <f t="array" ref="IK11">INDEX(增益!$A$2:$Q$40,IG11,MATCH(IK$8,增益!$B$1:$Q$1,0)+1)*$AI11</f>
        <v>0</v>
      </c>
      <c r="IL11" s="2" cm="1">
        <f t="array" ref="IL11">INDEX(增益!$A$2:$Q$40,IG11,MATCH(IL$8,增益!$B$1:$Q$1,0)+1)*$AI11</f>
        <v>0</v>
      </c>
      <c r="IM11" s="2" cm="1">
        <f t="array" ref="IM11">INDEX(增益!$A$2:$Q$40,IG11,MATCH(IM$8,增益!$B$1:$Q$1,0)+1)*$AI11</f>
        <v>0</v>
      </c>
      <c r="IN11" s="2" cm="1">
        <f t="array" ref="IN11">INDEX(增益!$A$2:$Q$40,IG11,MATCH(IN$8,增益!$B$1:$Q$1,0)+1)*$AI11</f>
        <v>0</v>
      </c>
      <c r="IO11" s="2" cm="1">
        <f t="array" ref="IO11">INDEX(增益!$A$2:$Q$40,IG11,MATCH(IO$8,增益!$B$1:$Q$1,0)+1)*$AI11</f>
        <v>0</v>
      </c>
      <c r="IP11" s="2" cm="1">
        <f t="array" ref="IP11">INDEX(增益!$A$2:$Q$40,IG11,MATCH(IP$8,增益!$B$1:$Q$1,0)+1)*$AI11</f>
        <v>0</v>
      </c>
      <c r="IQ11" s="2" cm="1">
        <f t="array" ref="IQ11">INDEX(增益!$A$2:$Q$40,IG11,MATCH(IQ$8,增益!$B$1:$Q$1,0)+1)*$AI11</f>
        <v>0</v>
      </c>
      <c r="IR11" s="2" cm="1">
        <f t="array" ref="IR11">INDEX(动作!$O$3:$O$113,IG6)</f>
        <v>0</v>
      </c>
      <c r="IS11" s="2" cm="1">
        <f t="array" ref="IS11">INDEX(动作!$P$3:$P$113,IG6)</f>
        <v>0</v>
      </c>
      <c r="IT11" s="2" cm="1">
        <f t="array" ref="IT11">INDEX(动作!$Q$3:$Q$113,IG6)</f>
        <v>0</v>
      </c>
      <c r="IU11" s="2" cm="1">
        <f t="array" ref="IU11">INDEX(动作!$R$3:$R$113,IG6)</f>
        <v>0</v>
      </c>
      <c r="IV11" s="2" cm="1">
        <f t="array" ref="IV11">INDEX(动作!$S$3:$S$113,IG6)</f>
        <v>0</v>
      </c>
      <c r="IX11" s="2" cm="1">
        <f t="array" ref="IX11">INDEX(增益!$A$2:$Q$40,IG11,MATCH(IX$8,增益!$B$1:$Q$1,0)+1)*$AI11</f>
        <v>0</v>
      </c>
      <c r="IY11" s="2" cm="1">
        <f t="array" ref="IY11">INDEX(增益!$A$2:$Q$40,IG11,MATCH(IY$8,增益!$B$1:$Q$1,0)+1)*$AI11</f>
        <v>0</v>
      </c>
      <c r="IZ11" s="2" cm="1">
        <f t="array" ref="IZ11">INDEX(增益!$A$2:$Q$40,IG11,MATCH(IZ$8,增益!$B$1:$Q$1,0)+1)*$AI11</f>
        <v>0</v>
      </c>
      <c r="JB11" s="2" cm="1">
        <f t="array" ref="JB11">INDEX(增益!$A$2:$Q$40,IG11,MATCH(JB$8,增益!$B$1:$Q$1,0)+1)*$AI11</f>
        <v>0</v>
      </c>
      <c r="JD11" s="2" cm="1">
        <f t="array" ref="JD11">INDEX(增益!$A$2:$Q$40,IG11,MATCH(JD$8,增益!$B$1:$Q$1,0)+1)*$AI11</f>
        <v>0</v>
      </c>
      <c r="JE11" s="2" cm="1">
        <f t="array" ref="JE11">INDEX(增益!$A$2:$Q$40,IG11,MATCH(JE$8,增益!$B$1:$Q$1,0)+1)*$AI11</f>
        <v>0</v>
      </c>
      <c r="JI11" s="2" cm="1">
        <f t="array" ref="JI11">INDEX(云配队!$J16:$AC16,1,JI$1)</f>
        <v>0</v>
      </c>
      <c r="JJ11" s="2">
        <f>IFERROR(MATCH(JI11,增益!$A$2:$A$40,FALSE),1)</f>
        <v>1</v>
      </c>
      <c r="JK11" s="2" cm="1">
        <f t="array" ref="JK11">INDEX(增益!$A$2:$Q$40,JJ11,MATCH(JK$8,增益!$B$1:$Q$1,0)+1)*$AI11</f>
        <v>0</v>
      </c>
      <c r="JL11" s="2" cm="1">
        <f t="array" ref="JL11">INDEX(增益!$A$2:$Q$40,JJ11,MATCH(JL$8,增益!$B$1:$Q$1,0)+1)*$AI11</f>
        <v>0</v>
      </c>
      <c r="JM11" s="2" cm="1">
        <f t="array" ref="JM11">INDEX(增益!$A$2:$Q$40,JJ11,MATCH(JM$8,增益!$B$1:$Q$1,0)+1)*$AI11</f>
        <v>0</v>
      </c>
      <c r="JN11" s="2" cm="1">
        <f t="array" ref="JN11">INDEX(增益!$A$2:$Q$40,JJ11,MATCH(JN$8,增益!$B$1:$Q$1,0)+1)*$AI11</f>
        <v>0</v>
      </c>
      <c r="JO11" s="2" cm="1">
        <f t="array" ref="JO11">INDEX(增益!$A$2:$Q$40,JJ11,MATCH(JO$8,增益!$B$1:$Q$1,0)+1)*$AI11</f>
        <v>0</v>
      </c>
      <c r="JP11" s="2" cm="1">
        <f t="array" ref="JP11">INDEX(增益!$A$2:$Q$40,JJ11,MATCH(JP$8,增益!$B$1:$Q$1,0)+1)*$AI11</f>
        <v>0</v>
      </c>
      <c r="JQ11" s="2" cm="1">
        <f t="array" ref="JQ11">INDEX(增益!$A$2:$Q$40,JJ11,MATCH(JQ$8,增益!$B$1:$Q$1,0)+1)*$AI11</f>
        <v>0</v>
      </c>
      <c r="JR11" s="2" cm="1">
        <f t="array" ref="JR11">INDEX(增益!$A$2:$Q$40,JJ11,MATCH(JR$8,增益!$B$1:$Q$1,0)+1)*$AI11</f>
        <v>0</v>
      </c>
      <c r="JS11" s="2" cm="1">
        <f t="array" ref="JS11">INDEX(增益!$A$2:$Q$40,JJ11,MATCH(JS$8,增益!$B$1:$Q$1,0)+1)*$AI11</f>
        <v>0</v>
      </c>
      <c r="JT11" s="2" cm="1">
        <f t="array" ref="JT11">INDEX(增益!$A$2:$Q$40,JJ11,MATCH(JT$8,增益!$B$1:$Q$1,0)+1)*$AI11</f>
        <v>0</v>
      </c>
      <c r="JU11" s="2" cm="1">
        <f t="array" ref="JU11">INDEX(动作!$O$3:$O$113,JJ6)</f>
        <v>0</v>
      </c>
      <c r="JV11" s="2" cm="1">
        <f t="array" ref="JV11">INDEX(动作!$P$3:$P$113,JJ6)</f>
        <v>0</v>
      </c>
      <c r="JW11" s="2" cm="1">
        <f t="array" ref="JW11">INDEX(动作!$Q$3:$Q$113,JJ6)</f>
        <v>0</v>
      </c>
      <c r="JX11" s="2" cm="1">
        <f t="array" ref="JX11">INDEX(动作!$R$3:$R$113,JJ6)</f>
        <v>0</v>
      </c>
      <c r="JY11" s="2" cm="1">
        <f t="array" ref="JY11">INDEX(动作!$S$3:$S$113,JJ6)</f>
        <v>0</v>
      </c>
      <c r="KA11" s="2" cm="1">
        <f t="array" ref="KA11">INDEX(增益!$A$2:$Q$40,JJ11,MATCH(KA$8,增益!$B$1:$Q$1,0)+1)*$AI11</f>
        <v>0</v>
      </c>
      <c r="KB11" s="2" cm="1">
        <f t="array" ref="KB11">INDEX(增益!$A$2:$Q$40,JJ11,MATCH(KB$8,增益!$B$1:$Q$1,0)+1)*$AI11</f>
        <v>0</v>
      </c>
      <c r="KC11" s="2" cm="1">
        <f t="array" ref="KC11">INDEX(增益!$A$2:$Q$40,JJ11,MATCH(KC$8,增益!$B$1:$Q$1,0)+1)*$AI11</f>
        <v>0</v>
      </c>
      <c r="KE11" s="2" cm="1">
        <f t="array" ref="KE11">INDEX(增益!$A$2:$Q$40,JJ11,MATCH(KE$8,增益!$B$1:$Q$1,0)+1)*$AI11</f>
        <v>0</v>
      </c>
      <c r="KG11" s="2" cm="1">
        <f t="array" ref="KG11">INDEX(增益!$A$2:$Q$40,JJ11,MATCH(KG$8,增益!$B$1:$Q$1,0)+1)*$AI11</f>
        <v>0</v>
      </c>
      <c r="KH11" s="2" cm="1">
        <f t="array" ref="KH11">INDEX(增益!$A$2:$Q$40,JJ11,MATCH(KH$8,增益!$B$1:$Q$1,0)+1)*$AI11</f>
        <v>0</v>
      </c>
      <c r="KL11" s="2" cm="1">
        <f t="array" ref="KL11">INDEX(云配队!$J16:$AC16,1,KL$1)</f>
        <v>0</v>
      </c>
      <c r="KM11" s="2">
        <f>IFERROR(MATCH(KL11,增益!$A$2:$A$40,FALSE),1)</f>
        <v>1</v>
      </c>
      <c r="KN11" s="2" cm="1">
        <f t="array" ref="KN11">INDEX(增益!$A$2:$Q$40,KM11,MATCH(KN$8,增益!$B$1:$Q$1,0)+1)*$AI11</f>
        <v>0</v>
      </c>
      <c r="KO11" s="2" cm="1">
        <f t="array" ref="KO11">INDEX(增益!$A$2:$Q$40,KM11,MATCH(KO$8,增益!$B$1:$Q$1,0)+1)*$AI11</f>
        <v>0</v>
      </c>
      <c r="KP11" s="2" cm="1">
        <f t="array" ref="KP11">INDEX(增益!$A$2:$Q$40,KM11,MATCH(KP$8,增益!$B$1:$Q$1,0)+1)*$AI11</f>
        <v>0</v>
      </c>
      <c r="KQ11" s="2" cm="1">
        <f t="array" ref="KQ11">INDEX(增益!$A$2:$Q$40,KM11,MATCH(KQ$8,增益!$B$1:$Q$1,0)+1)*$AI11</f>
        <v>0</v>
      </c>
      <c r="KR11" s="2" cm="1">
        <f t="array" ref="KR11">INDEX(增益!$A$2:$Q$40,KM11,MATCH(KR$8,增益!$B$1:$Q$1,0)+1)*$AI11</f>
        <v>0</v>
      </c>
      <c r="KS11" s="2" cm="1">
        <f t="array" ref="KS11">INDEX(增益!$A$2:$Q$40,KM11,MATCH(KS$8,增益!$B$1:$Q$1,0)+1)*$AI11</f>
        <v>0</v>
      </c>
      <c r="KT11" s="2" cm="1">
        <f t="array" ref="KT11">INDEX(增益!$A$2:$Q$40,KM11,MATCH(KT$8,增益!$B$1:$Q$1,0)+1)*$AI11</f>
        <v>0</v>
      </c>
      <c r="KU11" s="2" cm="1">
        <f t="array" ref="KU11">INDEX(增益!$A$2:$Q$40,KM11,MATCH(KU$8,增益!$B$1:$Q$1,0)+1)*$AI11</f>
        <v>0</v>
      </c>
      <c r="KV11" s="2" cm="1">
        <f t="array" ref="KV11">INDEX(增益!$A$2:$Q$40,KM11,MATCH(KV$8,增益!$B$1:$Q$1,0)+1)*$AI11</f>
        <v>0</v>
      </c>
      <c r="KW11" s="2" cm="1">
        <f t="array" ref="KW11">INDEX(增益!$A$2:$Q$40,KM11,MATCH(KW$8,增益!$B$1:$Q$1,0)+1)*$AI11</f>
        <v>0</v>
      </c>
      <c r="KX11" s="2" cm="1">
        <f t="array" ref="KX11">INDEX(动作!$O$3:$O$113,KM6)</f>
        <v>0</v>
      </c>
      <c r="KY11" s="2" cm="1">
        <f t="array" ref="KY11">INDEX(动作!$P$3:$P$113,KM6)</f>
        <v>0</v>
      </c>
      <c r="KZ11" s="2" cm="1">
        <f t="array" ref="KZ11">INDEX(动作!$Q$3:$Q$113,KM6)</f>
        <v>0</v>
      </c>
      <c r="LA11" s="2" cm="1">
        <f t="array" ref="LA11">INDEX(动作!$R$3:$R$113,KM6)</f>
        <v>0</v>
      </c>
      <c r="LB11" s="2" cm="1">
        <f t="array" ref="LB11">INDEX(动作!$S$3:$S$113,KM6)</f>
        <v>0</v>
      </c>
      <c r="LD11" s="2" cm="1">
        <f t="array" ref="LD11">INDEX(增益!$A$2:$Q$40,KM11,MATCH(LD$8,增益!$B$1:$Q$1,0)+1)*$AI11</f>
        <v>0</v>
      </c>
      <c r="LE11" s="2" cm="1">
        <f t="array" ref="LE11">INDEX(增益!$A$2:$Q$40,KM11,MATCH(LE$8,增益!$B$1:$Q$1,0)+1)*$AI11</f>
        <v>0</v>
      </c>
      <c r="LF11" s="2" cm="1">
        <f t="array" ref="LF11">INDEX(增益!$A$2:$Q$40,KM11,MATCH(LF$8,增益!$B$1:$Q$1,0)+1)*$AI11</f>
        <v>0</v>
      </c>
      <c r="LH11" s="2" cm="1">
        <f t="array" ref="LH11">INDEX(增益!$A$2:$Q$40,KM11,MATCH(LH$8,增益!$B$1:$Q$1,0)+1)*$AI11</f>
        <v>0</v>
      </c>
      <c r="LJ11" s="2" cm="1">
        <f t="array" ref="LJ11">INDEX(增益!$A$2:$Q$40,KM11,MATCH(LJ$8,增益!$B$1:$Q$1,0)+1)*$AI11</f>
        <v>0</v>
      </c>
      <c r="LK11" s="2" cm="1">
        <f t="array" ref="LK11">INDEX(增益!$A$2:$Q$40,KM11,MATCH(LK$8,增益!$B$1:$Q$1,0)+1)*$AI11</f>
        <v>0</v>
      </c>
      <c r="LO11" s="2" cm="1">
        <f t="array" ref="LO11">INDEX(云配队!$J16:$AC16,1,LO$1)</f>
        <v>0</v>
      </c>
      <c r="LP11" s="2">
        <f>IFERROR(MATCH(LO11,增益!$A$2:$A$40,FALSE),1)</f>
        <v>1</v>
      </c>
      <c r="LQ11" s="2" cm="1">
        <f t="array" ref="LQ11">INDEX(增益!$A$2:$Q$40,LP11,MATCH(LQ$8,增益!$B$1:$Q$1,0)+1)*$AI11</f>
        <v>0</v>
      </c>
      <c r="LR11" s="2" cm="1">
        <f t="array" ref="LR11">INDEX(增益!$A$2:$Q$40,LP11,MATCH(LR$8,增益!$B$1:$Q$1,0)+1)*$AI11</f>
        <v>0</v>
      </c>
      <c r="LS11" s="2" cm="1">
        <f t="array" ref="LS11">INDEX(增益!$A$2:$Q$40,LP11,MATCH(LS$8,增益!$B$1:$Q$1,0)+1)*$AI11</f>
        <v>0</v>
      </c>
      <c r="LT11" s="2" cm="1">
        <f t="array" ref="LT11">INDEX(增益!$A$2:$Q$40,LP11,MATCH(LT$8,增益!$B$1:$Q$1,0)+1)*$AI11</f>
        <v>0</v>
      </c>
      <c r="LU11" s="2" cm="1">
        <f t="array" ref="LU11">INDEX(增益!$A$2:$Q$40,LP11,MATCH(LU$8,增益!$B$1:$Q$1,0)+1)*$AI11</f>
        <v>0</v>
      </c>
      <c r="LV11" s="2" cm="1">
        <f t="array" ref="LV11">INDEX(增益!$A$2:$Q$40,LP11,MATCH(LV$8,增益!$B$1:$Q$1,0)+1)*$AI11</f>
        <v>0</v>
      </c>
      <c r="LW11" s="2" cm="1">
        <f t="array" ref="LW11">INDEX(增益!$A$2:$Q$40,LP11,MATCH(LW$8,增益!$B$1:$Q$1,0)+1)*$AI11</f>
        <v>0</v>
      </c>
      <c r="LX11" s="2" cm="1">
        <f t="array" ref="LX11">INDEX(增益!$A$2:$Q$40,LP11,MATCH(LX$8,增益!$B$1:$Q$1,0)+1)*$AI11</f>
        <v>0</v>
      </c>
      <c r="LY11" s="2" cm="1">
        <f t="array" ref="LY11">INDEX(增益!$A$2:$Q$40,LP11,MATCH(LY$8,增益!$B$1:$Q$1,0)+1)*$AI11</f>
        <v>0</v>
      </c>
      <c r="LZ11" s="2" cm="1">
        <f t="array" ref="LZ11">INDEX(增益!$A$2:$Q$40,LP11,MATCH(LZ$8,增益!$B$1:$Q$1,0)+1)*$AI11</f>
        <v>0</v>
      </c>
      <c r="MA11" s="2" cm="1">
        <f t="array" ref="MA11">INDEX(动作!$O$3:$O$113,LP6)</f>
        <v>0</v>
      </c>
      <c r="MB11" s="2" cm="1">
        <f t="array" ref="MB11">INDEX(动作!$P$3:$P$113,LP6)</f>
        <v>0</v>
      </c>
      <c r="MC11" s="2" cm="1">
        <f t="array" ref="MC11">INDEX(动作!$Q$3:$Q$113,LP6)</f>
        <v>0</v>
      </c>
      <c r="MD11" s="2" cm="1">
        <f t="array" ref="MD11">INDEX(动作!$R$3:$R$113,LP6)</f>
        <v>0</v>
      </c>
      <c r="ME11" s="2" cm="1">
        <f t="array" ref="ME11">INDEX(动作!$S$3:$S$113,LP6)</f>
        <v>0</v>
      </c>
      <c r="MG11" s="2" cm="1">
        <f t="array" ref="MG11">INDEX(增益!$A$2:$Q$40,LP11,MATCH(MG$8,增益!$B$1:$Q$1,0)+1)*$AI11</f>
        <v>0</v>
      </c>
      <c r="MH11" s="2" cm="1">
        <f t="array" ref="MH11">INDEX(增益!$A$2:$Q$40,LP11,MATCH(MH$8,增益!$B$1:$Q$1,0)+1)*$AI11</f>
        <v>0</v>
      </c>
      <c r="MI11" s="2" cm="1">
        <f t="array" ref="MI11">INDEX(增益!$A$2:$Q$40,LP11,MATCH(MI$8,增益!$B$1:$Q$1,0)+1)*$AI11</f>
        <v>0</v>
      </c>
      <c r="MK11" s="2" cm="1">
        <f t="array" ref="MK11">INDEX(增益!$A$2:$Q$40,LP11,MATCH(MK$8,增益!$B$1:$Q$1,0)+1)*$AI11</f>
        <v>0</v>
      </c>
      <c r="MM11" s="2" cm="1">
        <f t="array" ref="MM11">INDEX(增益!$A$2:$Q$40,LP11,MATCH(MM$8,增益!$B$1:$Q$1,0)+1)*$AI11</f>
        <v>0</v>
      </c>
      <c r="MN11" s="2" cm="1">
        <f t="array" ref="MN11">INDEX(增益!$A$2:$Q$40,LP11,MATCH(MN$8,增益!$B$1:$Q$1,0)+1)*$AI11</f>
        <v>0</v>
      </c>
      <c r="MR11" s="2" cm="1">
        <f t="array" ref="MR11">INDEX(云配队!$J16:$AC16,1,MR$1)</f>
        <v>0</v>
      </c>
      <c r="MS11" s="2">
        <f>IFERROR(MATCH(MR11,增益!$A$2:$A$40,FALSE),1)</f>
        <v>1</v>
      </c>
      <c r="MT11" s="2" cm="1">
        <f t="array" ref="MT11">INDEX(增益!$A$2:$Q$40,MS11,MATCH(MT$8,增益!$B$1:$Q$1,0)+1)*$AI11</f>
        <v>0</v>
      </c>
      <c r="MU11" s="2" cm="1">
        <f t="array" ref="MU11">INDEX(增益!$A$2:$Q$40,MS11,MATCH(MU$8,增益!$B$1:$Q$1,0)+1)*$AI11</f>
        <v>0</v>
      </c>
      <c r="MV11" s="2" cm="1">
        <f t="array" ref="MV11">INDEX(增益!$A$2:$Q$40,MS11,MATCH(MV$8,增益!$B$1:$Q$1,0)+1)*$AI11</f>
        <v>0</v>
      </c>
      <c r="MW11" s="2" cm="1">
        <f t="array" ref="MW11">INDEX(增益!$A$2:$Q$40,MS11,MATCH(MW$8,增益!$B$1:$Q$1,0)+1)*$AI11</f>
        <v>0</v>
      </c>
      <c r="MX11" s="2" cm="1">
        <f t="array" ref="MX11">INDEX(增益!$A$2:$Q$40,MS11,MATCH(MX$8,增益!$B$1:$Q$1,0)+1)*$AI11</f>
        <v>0</v>
      </c>
      <c r="MY11" s="2" cm="1">
        <f t="array" ref="MY11">INDEX(增益!$A$2:$Q$40,MS11,MATCH(MY$8,增益!$B$1:$Q$1,0)+1)*$AI11</f>
        <v>0</v>
      </c>
      <c r="MZ11" s="2" cm="1">
        <f t="array" ref="MZ11">INDEX(增益!$A$2:$Q$40,MS11,MATCH(MZ$8,增益!$B$1:$Q$1,0)+1)*$AI11</f>
        <v>0</v>
      </c>
      <c r="NA11" s="2" cm="1">
        <f t="array" ref="NA11">INDEX(增益!$A$2:$Q$40,MS11,MATCH(NA$8,增益!$B$1:$Q$1,0)+1)*$AI11</f>
        <v>0</v>
      </c>
      <c r="NB11" s="2" cm="1">
        <f t="array" ref="NB11">INDEX(增益!$A$2:$Q$40,MS11,MATCH(NB$8,增益!$B$1:$Q$1,0)+1)*$AI11</f>
        <v>0</v>
      </c>
      <c r="NC11" s="2" cm="1">
        <f t="array" ref="NC11">INDEX(增益!$A$2:$Q$40,MS11,MATCH(NC$8,增益!$B$1:$Q$1,0)+1)*$AI11</f>
        <v>0</v>
      </c>
      <c r="ND11" s="2" cm="1">
        <f t="array" ref="ND11">INDEX(动作!$O$3:$O$113,MS6)</f>
        <v>0</v>
      </c>
      <c r="NE11" s="2" cm="1">
        <f t="array" ref="NE11">INDEX(动作!$P$3:$P$113,MS6)</f>
        <v>0</v>
      </c>
      <c r="NF11" s="2" cm="1">
        <f t="array" ref="NF11">INDEX(动作!$Q$3:$Q$113,MS6)</f>
        <v>0</v>
      </c>
      <c r="NG11" s="2" cm="1">
        <f t="array" ref="NG11">INDEX(动作!$R$3:$R$113,MS6)</f>
        <v>0</v>
      </c>
      <c r="NH11" s="2" cm="1">
        <f t="array" ref="NH11">INDEX(动作!$S$3:$S$113,MS6)</f>
        <v>0</v>
      </c>
      <c r="NJ11" s="2" cm="1">
        <f t="array" ref="NJ11">INDEX(增益!$A$2:$Q$40,MS11,MATCH(NJ$8,增益!$B$1:$Q$1,0)+1)*$AI11</f>
        <v>0</v>
      </c>
      <c r="NK11" s="2" cm="1">
        <f t="array" ref="NK11">INDEX(增益!$A$2:$Q$40,MS11,MATCH(NK$8,增益!$B$1:$Q$1,0)+1)*$AI11</f>
        <v>0</v>
      </c>
      <c r="NL11" s="2" cm="1">
        <f t="array" ref="NL11">INDEX(增益!$A$2:$Q$40,MS11,MATCH(NL$8,增益!$B$1:$Q$1,0)+1)*$AI11</f>
        <v>0</v>
      </c>
      <c r="NN11" s="2" cm="1">
        <f t="array" ref="NN11">INDEX(增益!$A$2:$Q$40,MS11,MATCH(NN$8,增益!$B$1:$Q$1,0)+1)*$AI11</f>
        <v>0</v>
      </c>
      <c r="NP11" s="2" cm="1">
        <f t="array" ref="NP11">INDEX(增益!$A$2:$Q$40,MS11,MATCH(NP$8,增益!$B$1:$Q$1,0)+1)*$AI11</f>
        <v>0</v>
      </c>
      <c r="NQ11" s="2" cm="1">
        <f t="array" ref="NQ11">INDEX(增益!$A$2:$Q$40,MS11,MATCH(NQ$8,增益!$B$1:$Q$1,0)+1)*$AI11</f>
        <v>0</v>
      </c>
      <c r="NU11" s="2" cm="1">
        <f t="array" ref="NU11">INDEX(云配队!$J16:$AC16,1,NU$1)</f>
        <v>0</v>
      </c>
      <c r="NV11" s="2">
        <f>IFERROR(MATCH(NU11,增益!$A$2:$A$40,FALSE),1)</f>
        <v>1</v>
      </c>
      <c r="NW11" s="2" cm="1">
        <f t="array" ref="NW11">INDEX(增益!$A$2:$Q$40,NV11,MATCH(NW$8,增益!$B$1:$Q$1,0)+1)*$AI11</f>
        <v>0</v>
      </c>
      <c r="NX11" s="2" cm="1">
        <f t="array" ref="NX11">INDEX(增益!$A$2:$Q$40,NV11,MATCH(NX$8,增益!$B$1:$Q$1,0)+1)*$AI11</f>
        <v>0</v>
      </c>
      <c r="NY11" s="2" cm="1">
        <f t="array" ref="NY11">INDEX(增益!$A$2:$Q$40,NV11,MATCH(NY$8,增益!$B$1:$Q$1,0)+1)*$AI11</f>
        <v>0</v>
      </c>
      <c r="NZ11" s="2" cm="1">
        <f t="array" ref="NZ11">INDEX(增益!$A$2:$Q$40,NV11,MATCH(NZ$8,增益!$B$1:$Q$1,0)+1)*$AI11</f>
        <v>0</v>
      </c>
      <c r="OA11" s="2" cm="1">
        <f t="array" ref="OA11">INDEX(增益!$A$2:$Q$40,NV11,MATCH(OA$8,增益!$B$1:$Q$1,0)+1)*$AI11</f>
        <v>0</v>
      </c>
      <c r="OB11" s="2" cm="1">
        <f t="array" ref="OB11">INDEX(增益!$A$2:$Q$40,NV11,MATCH(OB$8,增益!$B$1:$Q$1,0)+1)*$AI11</f>
        <v>0</v>
      </c>
      <c r="OC11" s="2" cm="1">
        <f t="array" ref="OC11">INDEX(增益!$A$2:$Q$40,NV11,MATCH(OC$8,增益!$B$1:$Q$1,0)+1)*$AI11</f>
        <v>0</v>
      </c>
      <c r="OD11" s="2" cm="1">
        <f t="array" ref="OD11">INDEX(增益!$A$2:$Q$40,NV11,MATCH(OD$8,增益!$B$1:$Q$1,0)+1)*$AI11</f>
        <v>0</v>
      </c>
      <c r="OE11" s="2" cm="1">
        <f t="array" ref="OE11">INDEX(增益!$A$2:$Q$40,NV11,MATCH(OE$8,增益!$B$1:$Q$1,0)+1)*$AI11</f>
        <v>0</v>
      </c>
      <c r="OF11" s="2" cm="1">
        <f t="array" ref="OF11">INDEX(增益!$A$2:$Q$40,NV11,MATCH(OF$8,增益!$B$1:$Q$1,0)+1)*$AI11</f>
        <v>0</v>
      </c>
      <c r="OG11" s="2" cm="1">
        <f t="array" ref="OG11">INDEX(动作!$O$3:$O$113,NV6)</f>
        <v>0</v>
      </c>
      <c r="OH11" s="2" cm="1">
        <f t="array" ref="OH11">INDEX(动作!$P$3:$P$113,NV6)</f>
        <v>0</v>
      </c>
      <c r="OI11" s="2" cm="1">
        <f t="array" ref="OI11">INDEX(动作!$Q$3:$Q$113,NV6)</f>
        <v>0</v>
      </c>
      <c r="OJ11" s="2" cm="1">
        <f t="array" ref="OJ11">INDEX(动作!$R$3:$R$113,NV6)</f>
        <v>0</v>
      </c>
      <c r="OK11" s="2" cm="1">
        <f t="array" ref="OK11">INDEX(动作!$S$3:$S$113,NV6)</f>
        <v>0</v>
      </c>
      <c r="OM11" s="2" cm="1">
        <f t="array" ref="OM11">INDEX(增益!$A$2:$Q$40,NV11,MATCH(OM$8,增益!$B$1:$Q$1,0)+1)*$AI11</f>
        <v>0</v>
      </c>
      <c r="ON11" s="2" cm="1">
        <f t="array" ref="ON11">INDEX(增益!$A$2:$Q$40,NV11,MATCH(ON$8,增益!$B$1:$Q$1,0)+1)*$AI11</f>
        <v>0</v>
      </c>
      <c r="OO11" s="2" cm="1">
        <f t="array" ref="OO11">INDEX(增益!$A$2:$Q$40,NV11,MATCH(OO$8,增益!$B$1:$Q$1,0)+1)*$AI11</f>
        <v>0</v>
      </c>
      <c r="OQ11" s="2" cm="1">
        <f t="array" ref="OQ11">INDEX(增益!$A$2:$Q$40,NV11,MATCH(OQ$8,增益!$B$1:$Q$1,0)+1)*$AI11</f>
        <v>0</v>
      </c>
      <c r="OS11" s="2" cm="1">
        <f t="array" ref="OS11">INDEX(增益!$A$2:$Q$40,NV11,MATCH(OS$8,增益!$B$1:$Q$1,0)+1)*$AI11</f>
        <v>0</v>
      </c>
      <c r="OT11" s="2" cm="1">
        <f t="array" ref="OT11">INDEX(增益!$A$2:$Q$40,NV11,MATCH(OT$8,增益!$B$1:$Q$1,0)+1)*$AI11</f>
        <v>0</v>
      </c>
      <c r="OX11" s="2" cm="1">
        <f t="array" ref="OX11">INDEX(云配队!$J16:$AC16,1,OX$1)</f>
        <v>0</v>
      </c>
      <c r="OY11" s="2">
        <f>IFERROR(MATCH(OX11,增益!$A$2:$A$40,FALSE),1)</f>
        <v>1</v>
      </c>
      <c r="OZ11" s="2" cm="1">
        <f t="array" ref="OZ11">INDEX(增益!$A$2:$Q$40,OY11,MATCH(OZ$8,增益!$B$1:$Q$1,0)+1)*$AI11</f>
        <v>0</v>
      </c>
      <c r="PA11" s="2" cm="1">
        <f t="array" ref="PA11">INDEX(增益!$A$2:$Q$40,OY11,MATCH(PA$8,增益!$B$1:$Q$1,0)+1)*$AI11</f>
        <v>0</v>
      </c>
      <c r="PB11" s="2" cm="1">
        <f t="array" ref="PB11">INDEX(增益!$A$2:$Q$40,OY11,MATCH(PB$8,增益!$B$1:$Q$1,0)+1)*$AI11</f>
        <v>0</v>
      </c>
      <c r="PC11" s="2" cm="1">
        <f t="array" ref="PC11">INDEX(增益!$A$2:$Q$40,OY11,MATCH(PC$8,增益!$B$1:$Q$1,0)+1)*$AI11</f>
        <v>0</v>
      </c>
      <c r="PD11" s="2" cm="1">
        <f t="array" ref="PD11">INDEX(增益!$A$2:$Q$40,OY11,MATCH(PD$8,增益!$B$1:$Q$1,0)+1)*$AI11</f>
        <v>0</v>
      </c>
      <c r="PE11" s="2" cm="1">
        <f t="array" ref="PE11">INDEX(增益!$A$2:$Q$40,OY11,MATCH(PE$8,增益!$B$1:$Q$1,0)+1)*$AI11</f>
        <v>0</v>
      </c>
      <c r="PF11" s="2" cm="1">
        <f t="array" ref="PF11">INDEX(增益!$A$2:$Q$40,OY11,MATCH(PF$8,增益!$B$1:$Q$1,0)+1)*$AI11</f>
        <v>0</v>
      </c>
      <c r="PG11" s="2" cm="1">
        <f t="array" ref="PG11">INDEX(增益!$A$2:$Q$40,OY11,MATCH(PG$8,增益!$B$1:$Q$1,0)+1)*$AI11</f>
        <v>0</v>
      </c>
      <c r="PH11" s="2" cm="1">
        <f t="array" ref="PH11">INDEX(增益!$A$2:$Q$40,OY11,MATCH(PH$8,增益!$B$1:$Q$1,0)+1)*$AI11</f>
        <v>0</v>
      </c>
      <c r="PI11" s="2" cm="1">
        <f t="array" ref="PI11">INDEX(增益!$A$2:$Q$40,OY11,MATCH(PI$8,增益!$B$1:$Q$1,0)+1)*$AI11</f>
        <v>0</v>
      </c>
      <c r="PJ11" s="2" cm="1">
        <f t="array" ref="PJ11">INDEX(动作!$O$3:$O$113,OY6)</f>
        <v>0</v>
      </c>
      <c r="PK11" s="2" cm="1">
        <f t="array" ref="PK11">INDEX(动作!$P$3:$P$113,OY6)</f>
        <v>0</v>
      </c>
      <c r="PL11" s="2" cm="1">
        <f t="array" ref="PL11">INDEX(动作!$Q$3:$Q$113,OY6)</f>
        <v>0</v>
      </c>
      <c r="PM11" s="2" cm="1">
        <f t="array" ref="PM11">INDEX(动作!$R$3:$R$113,OY6)</f>
        <v>0</v>
      </c>
      <c r="PN11" s="2" cm="1">
        <f t="array" ref="PN11">INDEX(动作!$S$3:$S$113,OY6)</f>
        <v>0</v>
      </c>
      <c r="PP11" s="2" cm="1">
        <f t="array" ref="PP11">INDEX(增益!$A$2:$Q$40,OY11,MATCH(PP$8,增益!$B$1:$Q$1,0)+1)*$AI11</f>
        <v>0</v>
      </c>
      <c r="PQ11" s="2" cm="1">
        <f t="array" ref="PQ11">INDEX(增益!$A$2:$Q$40,OY11,MATCH(PQ$8,增益!$B$1:$Q$1,0)+1)*$AI11</f>
        <v>0</v>
      </c>
      <c r="PR11" s="2" cm="1">
        <f t="array" ref="PR11">INDEX(增益!$A$2:$Q$40,OY11,MATCH(PR$8,增益!$B$1:$Q$1,0)+1)*$AI11</f>
        <v>0</v>
      </c>
      <c r="PT11" s="2" cm="1">
        <f t="array" ref="PT11">INDEX(增益!$A$2:$Q$40,OY11,MATCH(PT$8,增益!$B$1:$Q$1,0)+1)*$AI11</f>
        <v>0</v>
      </c>
      <c r="PV11" s="2" cm="1">
        <f t="array" ref="PV11">INDEX(增益!$A$2:$Q$40,OY11,MATCH(PV$8,增益!$B$1:$Q$1,0)+1)*$AI11</f>
        <v>0</v>
      </c>
      <c r="PW11" s="2" cm="1">
        <f t="array" ref="PW11">INDEX(增益!$A$2:$Q$40,OY11,MATCH(PW$8,增益!$B$1:$Q$1,0)+1)*$AI11</f>
        <v>0</v>
      </c>
      <c r="QA11" s="2" cm="1">
        <f t="array" ref="QA11">INDEX(云配队!$J16:$AC16,1,QA$1)</f>
        <v>0</v>
      </c>
      <c r="QB11" s="2">
        <f>IFERROR(MATCH(QA11,增益!$A$2:$A$40,FALSE),1)</f>
        <v>1</v>
      </c>
      <c r="QC11" s="2" cm="1">
        <f t="array" ref="QC11">INDEX(增益!$A$2:$Q$40,QB11,MATCH(QC$8,增益!$B$1:$Q$1,0)+1)*$AI11</f>
        <v>0</v>
      </c>
      <c r="QD11" s="2" cm="1">
        <f t="array" ref="QD11">INDEX(增益!$A$2:$Q$40,QB11,MATCH(QD$8,增益!$B$1:$Q$1,0)+1)*$AI11</f>
        <v>0</v>
      </c>
      <c r="QE11" s="2" cm="1">
        <f t="array" ref="QE11">INDEX(增益!$A$2:$Q$40,QB11,MATCH(QE$8,增益!$B$1:$Q$1,0)+1)*$AI11</f>
        <v>0</v>
      </c>
      <c r="QF11" s="2" cm="1">
        <f t="array" ref="QF11">INDEX(增益!$A$2:$Q$40,QB11,MATCH(QF$8,增益!$B$1:$Q$1,0)+1)*$AI11</f>
        <v>0</v>
      </c>
      <c r="QG11" s="2" cm="1">
        <f t="array" ref="QG11">INDEX(增益!$A$2:$Q$40,QB11,MATCH(QG$8,增益!$B$1:$Q$1,0)+1)*$AI11</f>
        <v>0</v>
      </c>
      <c r="QH11" s="2" cm="1">
        <f t="array" ref="QH11">INDEX(增益!$A$2:$Q$40,QB11,MATCH(QH$8,增益!$B$1:$Q$1,0)+1)*$AI11</f>
        <v>0</v>
      </c>
      <c r="QI11" s="2" cm="1">
        <f t="array" ref="QI11">INDEX(增益!$A$2:$Q$40,QB11,MATCH(QI$8,增益!$B$1:$Q$1,0)+1)*$AI11</f>
        <v>0</v>
      </c>
      <c r="QJ11" s="2" cm="1">
        <f t="array" ref="QJ11">INDEX(增益!$A$2:$Q$40,QB11,MATCH(QJ$8,增益!$B$1:$Q$1,0)+1)*$AI11</f>
        <v>0</v>
      </c>
      <c r="QK11" s="2" cm="1">
        <f t="array" ref="QK11">INDEX(增益!$A$2:$Q$40,QB11,MATCH(QK$8,增益!$B$1:$Q$1,0)+1)*$AI11</f>
        <v>0</v>
      </c>
      <c r="QL11" s="2" cm="1">
        <f t="array" ref="QL11">INDEX(增益!$A$2:$Q$40,QB11,MATCH(QL$8,增益!$B$1:$Q$1,0)+1)*$AI11</f>
        <v>0</v>
      </c>
      <c r="QM11" s="2" cm="1">
        <f t="array" ref="QM11">INDEX(动作!$O$3:$O$113,QB6)</f>
        <v>0</v>
      </c>
      <c r="QN11" s="2" cm="1">
        <f t="array" ref="QN11">INDEX(动作!$P$3:$P$113,QB6)</f>
        <v>0</v>
      </c>
      <c r="QO11" s="2" cm="1">
        <f t="array" ref="QO11">INDEX(动作!$Q$3:$Q$113,QB6)</f>
        <v>0</v>
      </c>
      <c r="QP11" s="2" cm="1">
        <f t="array" ref="QP11">INDEX(动作!$R$3:$R$113,QB6)</f>
        <v>0</v>
      </c>
      <c r="QQ11" s="2" cm="1">
        <f t="array" ref="QQ11">INDEX(动作!$S$3:$S$113,QB6)</f>
        <v>0</v>
      </c>
      <c r="QS11" s="2" cm="1">
        <f t="array" ref="QS11">INDEX(增益!$A$2:$Q$40,QB11,MATCH(QS$8,增益!$B$1:$Q$1,0)+1)*$AI11</f>
        <v>0</v>
      </c>
      <c r="QT11" s="2" cm="1">
        <f t="array" ref="QT11">INDEX(增益!$A$2:$Q$40,QB11,MATCH(QT$8,增益!$B$1:$Q$1,0)+1)*$AI11</f>
        <v>0</v>
      </c>
      <c r="QU11" s="2" cm="1">
        <f t="array" ref="QU11">INDEX(增益!$A$2:$Q$40,QB11,MATCH(QU$8,增益!$B$1:$Q$1,0)+1)*$AI11</f>
        <v>0</v>
      </c>
      <c r="QW11" s="2" cm="1">
        <f t="array" ref="QW11">INDEX(增益!$A$2:$Q$40,QB11,MATCH(QW$8,增益!$B$1:$Q$1,0)+1)*$AI11</f>
        <v>0</v>
      </c>
      <c r="QY11" s="2" cm="1">
        <f t="array" ref="QY11">INDEX(增益!$A$2:$Q$40,QB11,MATCH(QY$8,增益!$B$1:$Q$1,0)+1)*$AI11</f>
        <v>0</v>
      </c>
      <c r="QZ11" s="2" cm="1">
        <f t="array" ref="QZ11">INDEX(增益!$A$2:$Q$40,QB11,MATCH(QZ$8,增益!$B$1:$Q$1,0)+1)*$AI11</f>
        <v>0</v>
      </c>
      <c r="RD11" s="2" cm="1">
        <f t="array" ref="RD11">INDEX(云配队!$J16:$AC16,1,RD$1)</f>
        <v>0</v>
      </c>
      <c r="RE11" s="2">
        <f>IFERROR(MATCH(RD11,增益!$A$2:$A$40,FALSE),1)</f>
        <v>1</v>
      </c>
      <c r="RF11" s="2" cm="1">
        <f t="array" ref="RF11">INDEX(增益!$A$2:$Q$40,RE11,MATCH(RF$8,增益!$B$1:$Q$1,0)+1)*$AI11</f>
        <v>0</v>
      </c>
      <c r="RG11" s="2" cm="1">
        <f t="array" ref="RG11">INDEX(增益!$A$2:$Q$40,RE11,MATCH(RG$8,增益!$B$1:$Q$1,0)+1)*$AI11</f>
        <v>0</v>
      </c>
      <c r="RH11" s="2" cm="1">
        <f t="array" ref="RH11">INDEX(增益!$A$2:$Q$40,RE11,MATCH(RH$8,增益!$B$1:$Q$1,0)+1)*$AI11</f>
        <v>0</v>
      </c>
      <c r="RI11" s="2" cm="1">
        <f t="array" ref="RI11">INDEX(增益!$A$2:$Q$40,RE11,MATCH(RI$8,增益!$B$1:$Q$1,0)+1)*$AI11</f>
        <v>0</v>
      </c>
      <c r="RJ11" s="2" cm="1">
        <f t="array" ref="RJ11">INDEX(增益!$A$2:$Q$40,RE11,MATCH(RJ$8,增益!$B$1:$Q$1,0)+1)*$AI11</f>
        <v>0</v>
      </c>
      <c r="RK11" s="2" cm="1">
        <f t="array" ref="RK11">INDEX(增益!$A$2:$Q$40,RE11,MATCH(RK$8,增益!$B$1:$Q$1,0)+1)*$AI11</f>
        <v>0</v>
      </c>
      <c r="RL11" s="2" cm="1">
        <f t="array" ref="RL11">INDEX(增益!$A$2:$Q$40,RE11,MATCH(RL$8,增益!$B$1:$Q$1,0)+1)*$AI11</f>
        <v>0</v>
      </c>
      <c r="RM11" s="2" cm="1">
        <f t="array" ref="RM11">INDEX(增益!$A$2:$Q$40,RE11,MATCH(RM$8,增益!$B$1:$Q$1,0)+1)*$AI11</f>
        <v>0</v>
      </c>
      <c r="RN11" s="2" cm="1">
        <f t="array" ref="RN11">INDEX(增益!$A$2:$Q$40,RE11,MATCH(RN$8,增益!$B$1:$Q$1,0)+1)*$AI11</f>
        <v>0</v>
      </c>
      <c r="RO11" s="2" cm="1">
        <f t="array" ref="RO11">INDEX(增益!$A$2:$Q$40,RE11,MATCH(RO$8,增益!$B$1:$Q$1,0)+1)*$AI11</f>
        <v>0</v>
      </c>
      <c r="RP11" s="2" cm="1">
        <f t="array" ref="RP11">INDEX(动作!$O$3:$O$113,RE6)</f>
        <v>0</v>
      </c>
      <c r="RQ11" s="2" cm="1">
        <f t="array" ref="RQ11">INDEX(动作!$P$3:$P$113,RE6)</f>
        <v>0</v>
      </c>
      <c r="RR11" s="2" cm="1">
        <f t="array" ref="RR11">INDEX(动作!$Q$3:$Q$113,RE6)</f>
        <v>0</v>
      </c>
      <c r="RS11" s="2" cm="1">
        <f t="array" ref="RS11">INDEX(动作!$R$3:$R$113,RE6)</f>
        <v>0</v>
      </c>
      <c r="RT11" s="2" cm="1">
        <f t="array" ref="RT11">INDEX(动作!$S$3:$S$113,RE6)</f>
        <v>0</v>
      </c>
      <c r="RV11" s="2" cm="1">
        <f t="array" ref="RV11">INDEX(增益!$A$2:$Q$40,RE11,MATCH(RV$8,增益!$B$1:$Q$1,0)+1)*$AI11</f>
        <v>0</v>
      </c>
      <c r="RW11" s="2" cm="1">
        <f t="array" ref="RW11">INDEX(增益!$A$2:$Q$40,RE11,MATCH(RW$8,增益!$B$1:$Q$1,0)+1)*$AI11</f>
        <v>0</v>
      </c>
      <c r="RX11" s="2" cm="1">
        <f t="array" ref="RX11">INDEX(增益!$A$2:$Q$40,RE11,MATCH(RX$8,增益!$B$1:$Q$1,0)+1)*$AI11</f>
        <v>0</v>
      </c>
      <c r="RZ11" s="2" cm="1">
        <f t="array" ref="RZ11">INDEX(增益!$A$2:$Q$40,RE11,MATCH(RZ$8,增益!$B$1:$Q$1,0)+1)*$AI11</f>
        <v>0</v>
      </c>
      <c r="SB11" s="2" cm="1">
        <f t="array" ref="SB11">INDEX(增益!$A$2:$Q$40,RE11,MATCH(SB$8,增益!$B$1:$Q$1,0)+1)*$AI11</f>
        <v>0</v>
      </c>
      <c r="SC11" s="2" cm="1">
        <f t="array" ref="SC11">INDEX(增益!$A$2:$Q$40,RE11,MATCH(SC$8,增益!$B$1:$Q$1,0)+1)*$AI11</f>
        <v>0</v>
      </c>
      <c r="SG11" s="2" cm="1">
        <f t="array" ref="SG11">INDEX(云配队!$J16:$AC16,1,SG$1)</f>
        <v>0</v>
      </c>
      <c r="SH11" s="2">
        <f>IFERROR(MATCH(SG11,增益!$A$2:$A$40,FALSE),1)</f>
        <v>1</v>
      </c>
      <c r="SI11" s="2" cm="1">
        <f t="array" ref="SI11">INDEX(增益!$A$2:$Q$40,SH11,MATCH(SI$8,增益!$B$1:$Q$1,0)+1)*$AI11</f>
        <v>0</v>
      </c>
      <c r="SJ11" s="2" cm="1">
        <f t="array" ref="SJ11">INDEX(增益!$A$2:$Q$40,SH11,MATCH(SJ$8,增益!$B$1:$Q$1,0)+1)*$AI11</f>
        <v>0</v>
      </c>
      <c r="SK11" s="2" cm="1">
        <f t="array" ref="SK11">INDEX(增益!$A$2:$Q$40,SH11,MATCH(SK$8,增益!$B$1:$Q$1,0)+1)*$AI11</f>
        <v>0</v>
      </c>
      <c r="SL11" s="2" cm="1">
        <f t="array" ref="SL11">INDEX(增益!$A$2:$Q$40,SH11,MATCH(SL$8,增益!$B$1:$Q$1,0)+1)*$AI11</f>
        <v>0</v>
      </c>
      <c r="SM11" s="2" cm="1">
        <f t="array" ref="SM11">INDEX(增益!$A$2:$Q$40,SH11,MATCH(SM$8,增益!$B$1:$Q$1,0)+1)*$AI11</f>
        <v>0</v>
      </c>
      <c r="SN11" s="2" cm="1">
        <f t="array" ref="SN11">INDEX(增益!$A$2:$Q$40,SH11,MATCH(SN$8,增益!$B$1:$Q$1,0)+1)*$AI11</f>
        <v>0</v>
      </c>
      <c r="SO11" s="2" cm="1">
        <f t="array" ref="SO11">INDEX(增益!$A$2:$Q$40,SH11,MATCH(SO$8,增益!$B$1:$Q$1,0)+1)*$AI11</f>
        <v>0</v>
      </c>
      <c r="SP11" s="2" cm="1">
        <f t="array" ref="SP11">INDEX(增益!$A$2:$Q$40,SH11,MATCH(SP$8,增益!$B$1:$Q$1,0)+1)*$AI11</f>
        <v>0</v>
      </c>
      <c r="SQ11" s="2" cm="1">
        <f t="array" ref="SQ11">INDEX(增益!$A$2:$Q$40,SH11,MATCH(SQ$8,增益!$B$1:$Q$1,0)+1)*$AI11</f>
        <v>0</v>
      </c>
      <c r="SR11" s="2" cm="1">
        <f t="array" ref="SR11">INDEX(增益!$A$2:$Q$40,SH11,MATCH(SR$8,增益!$B$1:$Q$1,0)+1)*$AI11</f>
        <v>0</v>
      </c>
      <c r="SS11" s="2" cm="1">
        <f t="array" ref="SS11">INDEX(动作!$O$3:$O$113,SH6)</f>
        <v>0</v>
      </c>
      <c r="ST11" s="2" cm="1">
        <f t="array" ref="ST11">INDEX(动作!$P$3:$P$113,SH6)</f>
        <v>0</v>
      </c>
      <c r="SU11" s="2" cm="1">
        <f t="array" ref="SU11">INDEX(动作!$Q$3:$Q$113,SH6)</f>
        <v>0</v>
      </c>
      <c r="SV11" s="2" cm="1">
        <f t="array" ref="SV11">INDEX(动作!$R$3:$R$113,SH6)</f>
        <v>0</v>
      </c>
      <c r="SW11" s="2" cm="1">
        <f t="array" ref="SW11">INDEX(动作!$S$3:$S$113,SH6)</f>
        <v>0</v>
      </c>
      <c r="SY11" s="2" cm="1">
        <f t="array" ref="SY11">INDEX(增益!$A$2:$Q$40,SH11,MATCH(SY$8,增益!$B$1:$Q$1,0)+1)*$AI11</f>
        <v>0</v>
      </c>
      <c r="SZ11" s="2" cm="1">
        <f t="array" ref="SZ11">INDEX(增益!$A$2:$Q$40,SH11,MATCH(SZ$8,增益!$B$1:$Q$1,0)+1)*$AI11</f>
        <v>0</v>
      </c>
      <c r="TA11" s="2" cm="1">
        <f t="array" ref="TA11">INDEX(增益!$A$2:$Q$40,SH11,MATCH(TA$8,增益!$B$1:$Q$1,0)+1)*$AI11</f>
        <v>0</v>
      </c>
      <c r="TC11" s="2" cm="1">
        <f t="array" ref="TC11">INDEX(增益!$A$2:$Q$40,SH11,MATCH(TC$8,增益!$B$1:$Q$1,0)+1)*$AI11</f>
        <v>0</v>
      </c>
      <c r="TE11" s="2" cm="1">
        <f t="array" ref="TE11">INDEX(增益!$A$2:$Q$40,SH11,MATCH(TE$8,增益!$B$1:$Q$1,0)+1)*$AI11</f>
        <v>0</v>
      </c>
      <c r="TF11" s="2" cm="1">
        <f t="array" ref="TF11">INDEX(增益!$A$2:$Q$40,SH11,MATCH(TF$8,增益!$B$1:$Q$1,0)+1)*$AI11</f>
        <v>0</v>
      </c>
      <c r="TJ11" s="2" cm="1">
        <f t="array" ref="TJ11">INDEX(云配队!$J16:$AC16,1,TJ$1)</f>
        <v>0</v>
      </c>
      <c r="TK11" s="2">
        <f>IFERROR(MATCH(TJ11,增益!$A$2:$A$40,FALSE),1)</f>
        <v>1</v>
      </c>
      <c r="TL11" s="2" cm="1">
        <f t="array" ref="TL11">INDEX(增益!$A$2:$Q$40,TK11,MATCH(TL$8,增益!$B$1:$Q$1,0)+1)*$AI11</f>
        <v>0</v>
      </c>
      <c r="TM11" s="2" cm="1">
        <f t="array" ref="TM11">INDEX(增益!$A$2:$Q$40,TK11,MATCH(TM$8,增益!$B$1:$Q$1,0)+1)*$AI11</f>
        <v>0</v>
      </c>
      <c r="TN11" s="2" cm="1">
        <f t="array" ref="TN11">INDEX(增益!$A$2:$Q$40,TK11,MATCH(TN$8,增益!$B$1:$Q$1,0)+1)*$AI11</f>
        <v>0</v>
      </c>
      <c r="TO11" s="2" cm="1">
        <f t="array" ref="TO11">INDEX(增益!$A$2:$Q$40,TK11,MATCH(TO$8,增益!$B$1:$Q$1,0)+1)*$AI11</f>
        <v>0</v>
      </c>
      <c r="TP11" s="2" cm="1">
        <f t="array" ref="TP11">INDEX(增益!$A$2:$Q$40,TK11,MATCH(TP$8,增益!$B$1:$Q$1,0)+1)*$AI11</f>
        <v>0</v>
      </c>
      <c r="TQ11" s="2" cm="1">
        <f t="array" ref="TQ11">INDEX(增益!$A$2:$Q$40,TK11,MATCH(TQ$8,增益!$B$1:$Q$1,0)+1)*$AI11</f>
        <v>0</v>
      </c>
      <c r="TR11" s="2" cm="1">
        <f t="array" ref="TR11">INDEX(增益!$A$2:$Q$40,TK11,MATCH(TR$8,增益!$B$1:$Q$1,0)+1)*$AI11</f>
        <v>0</v>
      </c>
      <c r="TS11" s="2" cm="1">
        <f t="array" ref="TS11">INDEX(增益!$A$2:$Q$40,TK11,MATCH(TS$8,增益!$B$1:$Q$1,0)+1)*$AI11</f>
        <v>0</v>
      </c>
      <c r="TT11" s="2" cm="1">
        <f t="array" ref="TT11">INDEX(增益!$A$2:$Q$40,TK11,MATCH(TT$8,增益!$B$1:$Q$1,0)+1)*$AI11</f>
        <v>0</v>
      </c>
      <c r="TU11" s="2" cm="1">
        <f t="array" ref="TU11">INDEX(增益!$A$2:$Q$40,TK11,MATCH(TU$8,增益!$B$1:$Q$1,0)+1)*$AI11</f>
        <v>0</v>
      </c>
      <c r="TV11" s="2" cm="1">
        <f t="array" ref="TV11">INDEX(动作!$O$3:$O$113,TK6)</f>
        <v>0</v>
      </c>
      <c r="TW11" s="2" cm="1">
        <f t="array" ref="TW11">INDEX(动作!$P$3:$P$113,TK6)</f>
        <v>0</v>
      </c>
      <c r="TX11" s="2" cm="1">
        <f t="array" ref="TX11">INDEX(动作!$Q$3:$Q$113,TK6)</f>
        <v>0</v>
      </c>
      <c r="TY11" s="2" cm="1">
        <f t="array" ref="TY11">INDEX(动作!$R$3:$R$113,TK6)</f>
        <v>0</v>
      </c>
      <c r="TZ11" s="2" cm="1">
        <f t="array" ref="TZ11">INDEX(动作!$S$3:$S$113,TK6)</f>
        <v>0</v>
      </c>
      <c r="UB11" s="2" cm="1">
        <f t="array" ref="UB11">INDEX(增益!$A$2:$Q$40,TK11,MATCH(UB$8,增益!$B$1:$Q$1,0)+1)*$AI11</f>
        <v>0</v>
      </c>
      <c r="UC11" s="2" cm="1">
        <f t="array" ref="UC11">INDEX(增益!$A$2:$Q$40,TK11,MATCH(UC$8,增益!$B$1:$Q$1,0)+1)*$AI11</f>
        <v>0</v>
      </c>
      <c r="UD11" s="2" cm="1">
        <f t="array" ref="UD11">INDEX(增益!$A$2:$Q$40,TK11,MATCH(UD$8,增益!$B$1:$Q$1,0)+1)*$AI11</f>
        <v>0</v>
      </c>
      <c r="UF11" s="2" cm="1">
        <f t="array" ref="UF11">INDEX(增益!$A$2:$Q$40,TK11,MATCH(UF$8,增益!$B$1:$Q$1,0)+1)*$AI11</f>
        <v>0</v>
      </c>
      <c r="UH11" s="2" cm="1">
        <f t="array" ref="UH11">INDEX(增益!$A$2:$Q$40,TK11,MATCH(UH$8,增益!$B$1:$Q$1,0)+1)*$AI11</f>
        <v>0</v>
      </c>
      <c r="UI11" s="2" cm="1">
        <f t="array" ref="UI11">INDEX(增益!$A$2:$Q$40,TK11,MATCH(UI$8,增益!$B$1:$Q$1,0)+1)*$AI11</f>
        <v>0</v>
      </c>
      <c r="UM11" s="2" cm="1">
        <f t="array" ref="UM11">INDEX(云配队!$J16:$AC16,1,UM$1)</f>
        <v>0</v>
      </c>
      <c r="UN11" s="2">
        <f>IFERROR(MATCH(UM11,增益!$A$2:$A$40,FALSE),1)</f>
        <v>1</v>
      </c>
      <c r="UO11" s="2" cm="1">
        <f t="array" ref="UO11">INDEX(增益!$A$2:$Q$40,UN11,MATCH(UO$8,增益!$B$1:$Q$1,0)+1)*$AI11</f>
        <v>0</v>
      </c>
      <c r="UP11" s="2" cm="1">
        <f t="array" ref="UP11">INDEX(增益!$A$2:$Q$40,UN11,MATCH(UP$8,增益!$B$1:$Q$1,0)+1)*$AI11</f>
        <v>0</v>
      </c>
      <c r="UQ11" s="2" cm="1">
        <f t="array" ref="UQ11">INDEX(增益!$A$2:$Q$40,UN11,MATCH(UQ$8,增益!$B$1:$Q$1,0)+1)*$AI11</f>
        <v>0</v>
      </c>
      <c r="UR11" s="2" cm="1">
        <f t="array" ref="UR11">INDEX(增益!$A$2:$Q$40,UN11,MATCH(UR$8,增益!$B$1:$Q$1,0)+1)*$AI11</f>
        <v>0</v>
      </c>
      <c r="US11" s="2" cm="1">
        <f t="array" ref="US11">INDEX(增益!$A$2:$Q$40,UN11,MATCH(US$8,增益!$B$1:$Q$1,0)+1)*$AI11</f>
        <v>0</v>
      </c>
      <c r="UT11" s="2" cm="1">
        <f t="array" ref="UT11">INDEX(增益!$A$2:$Q$40,UN11,MATCH(UT$8,增益!$B$1:$Q$1,0)+1)*$AI11</f>
        <v>0</v>
      </c>
      <c r="UU11" s="2" cm="1">
        <f t="array" ref="UU11">INDEX(增益!$A$2:$Q$40,UN11,MATCH(UU$8,增益!$B$1:$Q$1,0)+1)*$AI11</f>
        <v>0</v>
      </c>
      <c r="UV11" s="2" cm="1">
        <f t="array" ref="UV11">INDEX(增益!$A$2:$Q$40,UN11,MATCH(UV$8,增益!$B$1:$Q$1,0)+1)*$AI11</f>
        <v>0</v>
      </c>
      <c r="UW11" s="2" cm="1">
        <f t="array" ref="UW11">INDEX(增益!$A$2:$Q$40,UN11,MATCH(UW$8,增益!$B$1:$Q$1,0)+1)*$AI11</f>
        <v>0</v>
      </c>
      <c r="UX11" s="2" cm="1">
        <f t="array" ref="UX11">INDEX(增益!$A$2:$Q$40,UN11,MATCH(UX$8,增益!$B$1:$Q$1,0)+1)*$AI11</f>
        <v>0</v>
      </c>
      <c r="UY11" s="2" cm="1">
        <f t="array" ref="UY11">INDEX(动作!$O$3:$O$113,UN6)</f>
        <v>0</v>
      </c>
      <c r="UZ11" s="2" cm="1">
        <f t="array" ref="UZ11">INDEX(动作!$P$3:$P$113,UN6)</f>
        <v>0</v>
      </c>
      <c r="VA11" s="2" cm="1">
        <f t="array" ref="VA11">INDEX(动作!$Q$3:$Q$113,UN6)</f>
        <v>0</v>
      </c>
      <c r="VB11" s="2" cm="1">
        <f t="array" ref="VB11">INDEX(动作!$R$3:$R$113,UN6)</f>
        <v>0</v>
      </c>
      <c r="VC11" s="2" cm="1">
        <f t="array" ref="VC11">INDEX(动作!$S$3:$S$113,UN6)</f>
        <v>0</v>
      </c>
      <c r="VE11" s="2" cm="1">
        <f t="array" ref="VE11">INDEX(增益!$A$2:$Q$40,UN11,MATCH(VE$8,增益!$B$1:$Q$1,0)+1)*$AI11</f>
        <v>0</v>
      </c>
      <c r="VF11" s="2" cm="1">
        <f t="array" ref="VF11">INDEX(增益!$A$2:$Q$40,UN11,MATCH(VF$8,增益!$B$1:$Q$1,0)+1)*$AI11</f>
        <v>0</v>
      </c>
      <c r="VG11" s="2" cm="1">
        <f t="array" ref="VG11">INDEX(增益!$A$2:$Q$40,UN11,MATCH(VG$8,增益!$B$1:$Q$1,0)+1)*$AI11</f>
        <v>0</v>
      </c>
      <c r="VI11" s="2" cm="1">
        <f t="array" ref="VI11">INDEX(增益!$A$2:$Q$40,UN11,MATCH(VI$8,增益!$B$1:$Q$1,0)+1)*$AI11</f>
        <v>0</v>
      </c>
      <c r="VK11" s="2" cm="1">
        <f t="array" ref="VK11">INDEX(增益!$A$2:$Q$40,UN11,MATCH(VK$8,增益!$B$1:$Q$1,0)+1)*$AI11</f>
        <v>0</v>
      </c>
      <c r="VL11" s="2" cm="1">
        <f t="array" ref="VL11">INDEX(增益!$A$2:$Q$40,UN11,MATCH(VL$8,增益!$B$1:$Q$1,0)+1)*$AI11</f>
        <v>0</v>
      </c>
      <c r="VP11" s="2" cm="1">
        <f t="array" ref="VP11">INDEX(云配队!$J16:$AC16,1,VP$1)</f>
        <v>0</v>
      </c>
      <c r="VQ11" s="2">
        <f>IFERROR(MATCH(VP11,增益!$A$2:$A$40,FALSE),1)</f>
        <v>1</v>
      </c>
      <c r="VR11" s="2" cm="1">
        <f t="array" ref="VR11">INDEX(增益!$A$2:$Q$40,VQ11,MATCH(VR$8,增益!$B$1:$Q$1,0)+1)*$AI11</f>
        <v>0</v>
      </c>
      <c r="VS11" s="2" cm="1">
        <f t="array" ref="VS11">INDEX(增益!$A$2:$Q$40,VQ11,MATCH(VS$8,增益!$B$1:$Q$1,0)+1)*$AI11</f>
        <v>0</v>
      </c>
      <c r="VT11" s="2" cm="1">
        <f t="array" ref="VT11">INDEX(增益!$A$2:$Q$40,VQ11,MATCH(VT$8,增益!$B$1:$Q$1,0)+1)*$AI11</f>
        <v>0</v>
      </c>
      <c r="VU11" s="2" cm="1">
        <f t="array" ref="VU11">INDEX(增益!$A$2:$Q$40,VQ11,MATCH(VU$8,增益!$B$1:$Q$1,0)+1)*$AI11</f>
        <v>0</v>
      </c>
      <c r="VV11" s="2" cm="1">
        <f t="array" ref="VV11">INDEX(增益!$A$2:$Q$40,VQ11,MATCH(VV$8,增益!$B$1:$Q$1,0)+1)*$AI11</f>
        <v>0</v>
      </c>
      <c r="VW11" s="2" cm="1">
        <f t="array" ref="VW11">INDEX(增益!$A$2:$Q$40,VQ11,MATCH(VW$8,增益!$B$1:$Q$1,0)+1)*$AI11</f>
        <v>0</v>
      </c>
      <c r="VX11" s="2" cm="1">
        <f t="array" ref="VX11">INDEX(增益!$A$2:$Q$40,VQ11,MATCH(VX$8,增益!$B$1:$Q$1,0)+1)*$AI11</f>
        <v>0</v>
      </c>
      <c r="VY11" s="2" cm="1">
        <f t="array" ref="VY11">INDEX(增益!$A$2:$Q$40,VQ11,MATCH(VY$8,增益!$B$1:$Q$1,0)+1)*$AI11</f>
        <v>0</v>
      </c>
      <c r="VZ11" s="2" cm="1">
        <f t="array" ref="VZ11">INDEX(增益!$A$2:$Q$40,VQ11,MATCH(VZ$8,增益!$B$1:$Q$1,0)+1)*$AI11</f>
        <v>0</v>
      </c>
      <c r="WA11" s="2" cm="1">
        <f t="array" ref="WA11">INDEX(增益!$A$2:$Q$40,VQ11,MATCH(WA$8,增益!$B$1:$Q$1,0)+1)*$AI11</f>
        <v>0</v>
      </c>
      <c r="WB11" s="2" cm="1">
        <f t="array" ref="WB11">INDEX(动作!$O$3:$O$113,VQ6)</f>
        <v>0</v>
      </c>
      <c r="WC11" s="2" cm="1">
        <f t="array" ref="WC11">INDEX(动作!$P$3:$P$113,VQ6)</f>
        <v>0</v>
      </c>
      <c r="WD11" s="2" cm="1">
        <f t="array" ref="WD11">INDEX(动作!$Q$3:$Q$113,VQ6)</f>
        <v>0</v>
      </c>
      <c r="WE11" s="2" cm="1">
        <f t="array" ref="WE11">INDEX(动作!$R$3:$R$113,VQ6)</f>
        <v>0</v>
      </c>
      <c r="WF11" s="2" cm="1">
        <f t="array" ref="WF11">INDEX(动作!$S$3:$S$113,VQ6)</f>
        <v>0</v>
      </c>
      <c r="WH11" s="2" cm="1">
        <f t="array" ref="WH11">INDEX(增益!$A$2:$Q$40,VQ11,MATCH(WH$8,增益!$B$1:$Q$1,0)+1)*$AI11</f>
        <v>0</v>
      </c>
      <c r="WI11" s="2" cm="1">
        <f t="array" ref="WI11">INDEX(增益!$A$2:$Q$40,VQ11,MATCH(WI$8,增益!$B$1:$Q$1,0)+1)*$AI11</f>
        <v>0</v>
      </c>
      <c r="WJ11" s="2" cm="1">
        <f t="array" ref="WJ11">INDEX(增益!$A$2:$Q$40,VQ11,MATCH(WJ$8,增益!$B$1:$Q$1,0)+1)*$AI11</f>
        <v>0</v>
      </c>
      <c r="WL11" s="2" cm="1">
        <f t="array" ref="WL11">INDEX(增益!$A$2:$Q$40,VQ11,MATCH(WL$8,增益!$B$1:$Q$1,0)+1)*$AI11</f>
        <v>0</v>
      </c>
      <c r="WN11" s="2" cm="1">
        <f t="array" ref="WN11">INDEX(增益!$A$2:$Q$40,VQ11,MATCH(WN$8,增益!$B$1:$Q$1,0)+1)*$AI11</f>
        <v>0</v>
      </c>
      <c r="WO11" s="2" cm="1">
        <f t="array" ref="WO11">INDEX(增益!$A$2:$Q$40,VQ11,MATCH(WO$8,增益!$B$1:$Q$1,0)+1)*$AI11</f>
        <v>0</v>
      </c>
    </row>
    <row r="12" spans="1:616">
      <c r="T12" s="2">
        <v>1</v>
      </c>
      <c r="U12" s="5"/>
      <c r="Y12" s="2">
        <f>$X$10*(1+V6/360)</f>
        <v>38593.591160221</v>
      </c>
      <c r="AI12" s="2">
        <f>IF(云配队!H17&gt;0,云配队!H17,1)</f>
        <v>1</v>
      </c>
      <c r="AK12" s="2" cm="1">
        <f t="array" ref="AK12">INDEX(云配队!$J17:$AC17,1,AK$1)</f>
        <v>0</v>
      </c>
      <c r="AL12" s="2">
        <f>IFERROR(MATCH(AK12,增益!$A$2:$A$40,FALSE),1)</f>
        <v>1</v>
      </c>
      <c r="AM12" s="2" cm="1">
        <f t="array" ref="AM12">INDEX(增益!$A$2:$Q$40,AL12,MATCH(AM$8,增益!$B$1:$Q$1,0)+1)*$AI12</f>
        <v>0</v>
      </c>
      <c r="AN12" s="2" cm="1">
        <f t="array" ref="AN12">INDEX(增益!$A$2:$Q$40,AL12,MATCH(AN$8,增益!$B$1:$Q$1,0)+1)*$AI12</f>
        <v>0</v>
      </c>
      <c r="AO12" s="2" cm="1">
        <f t="array" ref="AO12">INDEX(增益!$A$2:$Q$40,AL12,MATCH(AO$8,增益!$B$1:$Q$1,0)+1)*$AI12</f>
        <v>0</v>
      </c>
      <c r="AP12" s="2" cm="1">
        <f t="array" ref="AP12">INDEX(增益!$A$2:$Q$40,AL12,MATCH(AP$8,增益!$B$1:$Q$1,0)+1)*$AI12</f>
        <v>0</v>
      </c>
      <c r="AQ12" s="2" cm="1">
        <f t="array" ref="AQ12">INDEX(增益!$A$2:$Q$40,AL12,MATCH(AQ$8,增益!$B$1:$Q$1,0)+1)*$AI12</f>
        <v>0</v>
      </c>
      <c r="AR12" s="2" cm="1">
        <f t="array" ref="AR12">INDEX(增益!$A$2:$Q$40,AL12,MATCH(AR$8,增益!$B$1:$Q$1,0)+1)*$AI12</f>
        <v>0</v>
      </c>
      <c r="AS12" s="2" cm="1">
        <f t="array" ref="AS12">INDEX(增益!$A$2:$Q$40,AL12,MATCH(AS$8,增益!$B$1:$Q$1,0)+1)*$AI12</f>
        <v>0</v>
      </c>
      <c r="AT12" s="2" cm="1">
        <f t="array" ref="AT12">INDEX(增益!$A$2:$Q$40,AL12,MATCH(AT$8,增益!$B$1:$Q$1,0)+1)*$AI12</f>
        <v>0</v>
      </c>
      <c r="AU12" s="2" cm="1">
        <f t="array" ref="AU12">INDEX(增益!$A$2:$Q$40,AL12,MATCH(AU$8,增益!$B$1:$Q$1,0)+1)*$AI12</f>
        <v>0</v>
      </c>
      <c r="AV12" s="2" cm="1">
        <f t="array" ref="AV12">INDEX(增益!$A$2:$Q$40,AL12,MATCH(AV$8,增益!$B$1:$Q$1,0)+1)*$AI12</f>
        <v>0</v>
      </c>
      <c r="AW12" s="2" cm="1">
        <f t="array" ref="AW12">INDEX(动作!$O$3:$O$113,AL7)</f>
        <v>0</v>
      </c>
      <c r="AX12" s="2" cm="1">
        <f t="array" ref="AX12">INDEX(动作!$P$3:$P$113,AL7)</f>
        <v>0</v>
      </c>
      <c r="AY12" s="2" cm="1">
        <f t="array" ref="AY12">INDEX(动作!$Q$3:$Q$113,AL7)</f>
        <v>0</v>
      </c>
      <c r="AZ12" s="2" cm="1">
        <f t="array" ref="AZ12">INDEX(动作!$R$3:$R$113,AL7)</f>
        <v>0</v>
      </c>
      <c r="BA12" s="2" cm="1">
        <f t="array" ref="BA12">INDEX(动作!$S$3:$S$113,AL7)</f>
        <v>0</v>
      </c>
      <c r="BC12" s="2" cm="1">
        <f t="array" ref="BC12">INDEX(增益!$A$2:$Q$40,AL12,MATCH(BC$8,增益!$B$1:$Q$1,0)+1)*$AI12</f>
        <v>0</v>
      </c>
      <c r="BD12" s="2" cm="1">
        <f t="array" ref="BD12">INDEX(增益!$A$2:$Q$40,AL12,MATCH(BD$8,增益!$B$1:$Q$1,0)+1)*$AI12</f>
        <v>0</v>
      </c>
      <c r="BE12" s="2" cm="1">
        <f t="array" ref="BE12">INDEX(增益!$A$2:$Q$40,AL12,MATCH(BE$8,增益!$B$1:$Q$1,0)+1)*$AI12</f>
        <v>0</v>
      </c>
      <c r="BG12" s="2" cm="1">
        <f t="array" ref="BG12">INDEX(增益!$A$2:$Q$40,AL12,MATCH(BG$8,增益!$B$1:$Q$1,0)+1)*$AI12</f>
        <v>0</v>
      </c>
      <c r="BI12" s="2" cm="1">
        <f t="array" ref="BI12">INDEX(增益!$A$2:$Q$40,AL12,MATCH(BI$8,增益!$B$1:$Q$1,0)+1)*$AI12</f>
        <v>0</v>
      </c>
      <c r="BJ12" s="2" cm="1">
        <f t="array" ref="BJ12">INDEX(增益!$A$2:$Q$40,AL12,MATCH(BJ$8,增益!$B$1:$Q$1,0)+1)*$AI12</f>
        <v>0</v>
      </c>
      <c r="BN12" s="2" cm="1">
        <f t="array" ref="BN12">INDEX(云配队!$J17:$AC17,1,BN$1)</f>
        <v>0</v>
      </c>
      <c r="BO12" s="2">
        <f>IFERROR(MATCH(BN12,增益!$A$2:$A$40,FALSE),1)</f>
        <v>1</v>
      </c>
      <c r="BP12" s="2" cm="1">
        <f t="array" ref="BP12">INDEX(增益!$A$2:$Q$40,BO12,MATCH(BP$8,增益!$B$1:$Q$1,0)+1)*$AI12</f>
        <v>0</v>
      </c>
      <c r="BQ12" s="2" cm="1">
        <f t="array" ref="BQ12">INDEX(增益!$A$2:$Q$40,BO12,MATCH(BQ$8,增益!$B$1:$Q$1,0)+1)*$AI12</f>
        <v>0</v>
      </c>
      <c r="BR12" s="2" cm="1">
        <f t="array" ref="BR12">INDEX(增益!$A$2:$Q$40,BO12,MATCH(BR$8,增益!$B$1:$Q$1,0)+1)*$AI12</f>
        <v>0</v>
      </c>
      <c r="BS12" s="2" cm="1">
        <f t="array" ref="BS12">INDEX(增益!$A$2:$Q$40,BO12,MATCH(BS$8,增益!$B$1:$Q$1,0)+1)*$AI12</f>
        <v>0</v>
      </c>
      <c r="BT12" s="2" cm="1">
        <f t="array" ref="BT12">INDEX(增益!$A$2:$Q$40,BO12,MATCH(BT$8,增益!$B$1:$Q$1,0)+1)*$AI12</f>
        <v>0</v>
      </c>
      <c r="BU12" s="2" cm="1">
        <f t="array" ref="BU12">INDEX(增益!$A$2:$Q$40,BO12,MATCH(BU$8,增益!$B$1:$Q$1,0)+1)*$AI12</f>
        <v>0</v>
      </c>
      <c r="BV12" s="2" cm="1">
        <f t="array" ref="BV12">INDEX(增益!$A$2:$Q$40,BO12,MATCH(BV$8,增益!$B$1:$Q$1,0)+1)*$AI12</f>
        <v>0</v>
      </c>
      <c r="BW12" s="2" cm="1">
        <f t="array" ref="BW12">INDEX(增益!$A$2:$Q$40,BO12,MATCH(BW$8,增益!$B$1:$Q$1,0)+1)*$AI12</f>
        <v>0</v>
      </c>
      <c r="BX12" s="2" cm="1">
        <f t="array" ref="BX12">INDEX(增益!$A$2:$Q$40,BO12,MATCH(BX$8,增益!$B$1:$Q$1,0)+1)*$AI12</f>
        <v>0</v>
      </c>
      <c r="BY12" s="2" cm="1">
        <f t="array" ref="BY12">INDEX(增益!$A$2:$Q$40,BO12,MATCH(BY$8,增益!$B$1:$Q$1,0)+1)*$AI12</f>
        <v>0</v>
      </c>
      <c r="BZ12" s="2" cm="1">
        <f t="array" ref="BZ12">INDEX(动作!$O$3:$O$113,BO7)</f>
        <v>0</v>
      </c>
      <c r="CA12" s="2" cm="1">
        <f t="array" ref="CA12">INDEX(动作!$P$3:$P$113,BO7)</f>
        <v>0</v>
      </c>
      <c r="CB12" s="2" cm="1">
        <f t="array" ref="CB12">INDEX(动作!$Q$3:$Q$113,BO7)</f>
        <v>0</v>
      </c>
      <c r="CC12" s="2" cm="1">
        <f t="array" ref="CC12">INDEX(动作!$R$3:$R$113,BO7)</f>
        <v>0</v>
      </c>
      <c r="CD12" s="2" cm="1">
        <f t="array" ref="CD12">INDEX(动作!$S$3:$S$113,BO7)</f>
        <v>0</v>
      </c>
      <c r="CF12" s="2" cm="1">
        <f t="array" ref="CF12">INDEX(增益!$A$2:$Q$40,BO12,MATCH(CF$8,增益!$B$1:$Q$1,0)+1)*$AI12</f>
        <v>0</v>
      </c>
      <c r="CG12" s="2" cm="1">
        <f t="array" ref="CG12">INDEX(增益!$A$2:$Q$40,BO12,MATCH(CG$8,增益!$B$1:$Q$1,0)+1)*$AI12</f>
        <v>0</v>
      </c>
      <c r="CH12" s="2" cm="1">
        <f t="array" ref="CH12">INDEX(增益!$A$2:$Q$40,BO12,MATCH(CH$8,增益!$B$1:$Q$1,0)+1)*$AI12</f>
        <v>0</v>
      </c>
      <c r="CJ12" s="2" cm="1">
        <f t="array" ref="CJ12">INDEX(增益!$A$2:$Q$40,BO12,MATCH(CJ$8,增益!$B$1:$Q$1,0)+1)*$AI12</f>
        <v>0</v>
      </c>
      <c r="CL12" s="2" cm="1">
        <f t="array" ref="CL12">INDEX(增益!$A$2:$Q$40,BO12,MATCH(CL$8,增益!$B$1:$Q$1,0)+1)*$AI12</f>
        <v>0</v>
      </c>
      <c r="CM12" s="2" cm="1">
        <f t="array" ref="CM12">INDEX(增益!$A$2:$Q$40,BO12,MATCH(CM$8,增益!$B$1:$Q$1,0)+1)*$AI12</f>
        <v>0</v>
      </c>
      <c r="CQ12" s="2" cm="1">
        <f t="array" ref="CQ12">INDEX(云配队!$J17:$AC17,1,CQ$1)</f>
        <v>0</v>
      </c>
      <c r="CR12" s="2">
        <f>IFERROR(MATCH(CQ12,增益!$A$2:$A$40,FALSE),1)</f>
        <v>1</v>
      </c>
      <c r="CS12" s="2" cm="1">
        <f t="array" ref="CS12">INDEX(增益!$A$2:$Q$40,CR12,MATCH(CS$8,增益!$B$1:$Q$1,0)+1)*$AI12</f>
        <v>0</v>
      </c>
      <c r="CT12" s="2" cm="1">
        <f t="array" ref="CT12">INDEX(增益!$A$2:$Q$40,CR12,MATCH(CT$8,增益!$B$1:$Q$1,0)+1)*$AI12</f>
        <v>0</v>
      </c>
      <c r="CU12" s="2" cm="1">
        <f t="array" ref="CU12">INDEX(增益!$A$2:$Q$40,CR12,MATCH(CU$8,增益!$B$1:$Q$1,0)+1)*$AI12</f>
        <v>0</v>
      </c>
      <c r="CV12" s="2" cm="1">
        <f t="array" ref="CV12">INDEX(增益!$A$2:$Q$40,CR12,MATCH(CV$8,增益!$B$1:$Q$1,0)+1)*$AI12</f>
        <v>0</v>
      </c>
      <c r="CW12" s="2" cm="1">
        <f t="array" ref="CW12">INDEX(增益!$A$2:$Q$40,CR12,MATCH(CW$8,增益!$B$1:$Q$1,0)+1)*$AI12</f>
        <v>0</v>
      </c>
      <c r="CX12" s="2" cm="1">
        <f t="array" ref="CX12">INDEX(增益!$A$2:$Q$40,CR12,MATCH(CX$8,增益!$B$1:$Q$1,0)+1)*$AI12</f>
        <v>0</v>
      </c>
      <c r="CY12" s="2" cm="1">
        <f t="array" ref="CY12">INDEX(增益!$A$2:$Q$40,CR12,MATCH(CY$8,增益!$B$1:$Q$1,0)+1)*$AI12</f>
        <v>0</v>
      </c>
      <c r="CZ12" s="2" cm="1">
        <f t="array" ref="CZ12">INDEX(增益!$A$2:$Q$40,CR12,MATCH(CZ$8,增益!$B$1:$Q$1,0)+1)*$AI12</f>
        <v>0</v>
      </c>
      <c r="DA12" s="2" cm="1">
        <f t="array" ref="DA12">INDEX(增益!$A$2:$Q$40,CR12,MATCH(DA$8,增益!$B$1:$Q$1,0)+1)*$AI12</f>
        <v>0</v>
      </c>
      <c r="DB12" s="2" cm="1">
        <f t="array" ref="DB12">INDEX(增益!$A$2:$Q$40,CR12,MATCH(DB$8,增益!$B$1:$Q$1,0)+1)*$AI12</f>
        <v>0</v>
      </c>
      <c r="DC12" s="2" cm="1">
        <f t="array" ref="DC12">INDEX(动作!$O$3:$O$113,CR7)</f>
        <v>0</v>
      </c>
      <c r="DD12" s="2" cm="1">
        <f t="array" ref="DD12">INDEX(动作!$P$3:$P$113,CR7)</f>
        <v>0</v>
      </c>
      <c r="DE12" s="2" cm="1">
        <f t="array" ref="DE12">INDEX(动作!$Q$3:$Q$113,CR7)</f>
        <v>0</v>
      </c>
      <c r="DF12" s="2" cm="1">
        <f t="array" ref="DF12">INDEX(动作!$R$3:$R$113,CR7)</f>
        <v>0</v>
      </c>
      <c r="DG12" s="2" cm="1">
        <f t="array" ref="DG12">INDEX(动作!$S$3:$S$113,CR7)</f>
        <v>0</v>
      </c>
      <c r="DI12" s="2" cm="1">
        <f t="array" ref="DI12">INDEX(增益!$A$2:$Q$40,CR12,MATCH(DI$8,增益!$B$1:$Q$1,0)+1)*$AI12</f>
        <v>0</v>
      </c>
      <c r="DJ12" s="2" cm="1">
        <f t="array" ref="DJ12">INDEX(增益!$A$2:$Q$40,CR12,MATCH(DJ$8,增益!$B$1:$Q$1,0)+1)*$AI12</f>
        <v>0</v>
      </c>
      <c r="DK12" s="2" cm="1">
        <f t="array" ref="DK12">INDEX(增益!$A$2:$Q$40,CR12,MATCH(DK$8,增益!$B$1:$Q$1,0)+1)*$AI12</f>
        <v>0</v>
      </c>
      <c r="DM12" s="2" cm="1">
        <f t="array" ref="DM12">INDEX(增益!$A$2:$Q$40,CR12,MATCH(DM$8,增益!$B$1:$Q$1,0)+1)*$AI12</f>
        <v>0</v>
      </c>
      <c r="DO12" s="2" cm="1">
        <f t="array" ref="DO12">INDEX(增益!$A$2:$Q$40,CR12,MATCH(DO$8,增益!$B$1:$Q$1,0)+1)*$AI12</f>
        <v>0</v>
      </c>
      <c r="DP12" s="2" cm="1">
        <f t="array" ref="DP12">INDEX(增益!$A$2:$Q$40,CR12,MATCH(DP$8,增益!$B$1:$Q$1,0)+1)*$AI12</f>
        <v>0</v>
      </c>
      <c r="DT12" s="2" cm="1">
        <f t="array" ref="DT12">INDEX(云配队!$J17:$AC17,1,DT$1)</f>
        <v>0</v>
      </c>
      <c r="DU12" s="2">
        <f>IFERROR(MATCH(DT12,增益!$A$2:$A$40,FALSE),1)</f>
        <v>1</v>
      </c>
      <c r="DV12" s="2" cm="1">
        <f t="array" ref="DV12">INDEX(增益!$A$2:$Q$40,DU12,MATCH(DV$8,增益!$B$1:$Q$1,0)+1)*$AI12</f>
        <v>0</v>
      </c>
      <c r="DW12" s="2" cm="1">
        <f t="array" ref="DW12">INDEX(增益!$A$2:$Q$40,DU12,MATCH(DW$8,增益!$B$1:$Q$1,0)+1)*$AI12</f>
        <v>0</v>
      </c>
      <c r="DX12" s="2" cm="1">
        <f t="array" ref="DX12">INDEX(增益!$A$2:$Q$40,DU12,MATCH(DX$8,增益!$B$1:$Q$1,0)+1)*$AI12</f>
        <v>0</v>
      </c>
      <c r="DY12" s="2" cm="1">
        <f t="array" ref="DY12">INDEX(增益!$A$2:$Q$40,DU12,MATCH(DY$8,增益!$B$1:$Q$1,0)+1)*$AI12</f>
        <v>0</v>
      </c>
      <c r="DZ12" s="2" cm="1">
        <f t="array" ref="DZ12">INDEX(增益!$A$2:$Q$40,DU12,MATCH(DZ$8,增益!$B$1:$Q$1,0)+1)*$AI12</f>
        <v>0</v>
      </c>
      <c r="EA12" s="2" cm="1">
        <f t="array" ref="EA12">INDEX(增益!$A$2:$Q$40,DU12,MATCH(EA$8,增益!$B$1:$Q$1,0)+1)*$AI12</f>
        <v>0</v>
      </c>
      <c r="EB12" s="2" cm="1">
        <f t="array" ref="EB12">INDEX(增益!$A$2:$Q$40,DU12,MATCH(EB$8,增益!$B$1:$Q$1,0)+1)*$AI12</f>
        <v>0</v>
      </c>
      <c r="EC12" s="2" cm="1">
        <f t="array" ref="EC12">INDEX(增益!$A$2:$Q$40,DU12,MATCH(EC$8,增益!$B$1:$Q$1,0)+1)*$AI12</f>
        <v>0</v>
      </c>
      <c r="ED12" s="2" cm="1">
        <f t="array" ref="ED12">INDEX(增益!$A$2:$Q$40,DU12,MATCH(ED$8,增益!$B$1:$Q$1,0)+1)*$AI12</f>
        <v>0</v>
      </c>
      <c r="EE12" s="2" cm="1">
        <f t="array" ref="EE12">INDEX(增益!$A$2:$Q$40,DU12,MATCH(EE$8,增益!$B$1:$Q$1,0)+1)*$AI12</f>
        <v>0</v>
      </c>
      <c r="EF12" s="2" cm="1">
        <f t="array" ref="EF12">INDEX(动作!$O$3:$O$113,DU7)</f>
        <v>0</v>
      </c>
      <c r="EG12" s="2" cm="1">
        <f t="array" ref="EG12">INDEX(动作!$P$3:$P$113,DU7)</f>
        <v>0</v>
      </c>
      <c r="EH12" s="2" cm="1">
        <f t="array" ref="EH12">INDEX(动作!$Q$3:$Q$113,DU7)</f>
        <v>0</v>
      </c>
      <c r="EI12" s="2" cm="1">
        <f t="array" ref="EI12">INDEX(动作!$R$3:$R$113,DU7)</f>
        <v>0</v>
      </c>
      <c r="EJ12" s="2" cm="1">
        <f t="array" ref="EJ12">INDEX(动作!$S$3:$S$113,DU7)</f>
        <v>0</v>
      </c>
      <c r="EL12" s="2" cm="1">
        <f t="array" ref="EL12">INDEX(增益!$A$2:$Q$40,DU12,MATCH(EL$8,增益!$B$1:$Q$1,0)+1)*$AI12</f>
        <v>0</v>
      </c>
      <c r="EM12" s="2" cm="1">
        <f t="array" ref="EM12">INDEX(增益!$A$2:$Q$40,DU12,MATCH(EM$8,增益!$B$1:$Q$1,0)+1)*$AI12</f>
        <v>0</v>
      </c>
      <c r="EN12" s="2" cm="1">
        <f t="array" ref="EN12">INDEX(增益!$A$2:$Q$40,DU12,MATCH(EN$8,增益!$B$1:$Q$1,0)+1)*$AI12</f>
        <v>0</v>
      </c>
      <c r="EP12" s="2" cm="1">
        <f t="array" ref="EP12">INDEX(增益!$A$2:$Q$40,DU12,MATCH(EP$8,增益!$B$1:$Q$1,0)+1)*$AI12</f>
        <v>0</v>
      </c>
      <c r="ER12" s="2" cm="1">
        <f t="array" ref="ER12">INDEX(增益!$A$2:$Q$40,DU12,MATCH(ER$8,增益!$B$1:$Q$1,0)+1)*$AI12</f>
        <v>0</v>
      </c>
      <c r="ES12" s="2" cm="1">
        <f t="array" ref="ES12">INDEX(增益!$A$2:$Q$40,DU12,MATCH(ES$8,增益!$B$1:$Q$1,0)+1)*$AI12</f>
        <v>0</v>
      </c>
      <c r="EW12" s="2" cm="1">
        <f t="array" ref="EW12">INDEX(云配队!$J17:$AC17,1,EW$1)</f>
        <v>0</v>
      </c>
      <c r="EX12" s="2">
        <f>IFERROR(MATCH(EW12,增益!$A$2:$A$40,FALSE),1)</f>
        <v>1</v>
      </c>
      <c r="EY12" s="2" cm="1">
        <f t="array" ref="EY12">INDEX(增益!$A$2:$Q$40,EX12,MATCH(EY$8,增益!$B$1:$Q$1,0)+1)*$AI12</f>
        <v>0</v>
      </c>
      <c r="EZ12" s="2" cm="1">
        <f t="array" ref="EZ12">INDEX(增益!$A$2:$Q$40,EX12,MATCH(EZ$8,增益!$B$1:$Q$1,0)+1)*$AI12</f>
        <v>0</v>
      </c>
      <c r="FA12" s="2" cm="1">
        <f t="array" ref="FA12">INDEX(增益!$A$2:$Q$40,EX12,MATCH(FA$8,增益!$B$1:$Q$1,0)+1)*$AI12</f>
        <v>0</v>
      </c>
      <c r="FB12" s="2" cm="1">
        <f t="array" ref="FB12">INDEX(增益!$A$2:$Q$40,EX12,MATCH(FB$8,增益!$B$1:$Q$1,0)+1)*$AI12</f>
        <v>0</v>
      </c>
      <c r="FC12" s="2" cm="1">
        <f t="array" ref="FC12">INDEX(增益!$A$2:$Q$40,EX12,MATCH(FC$8,增益!$B$1:$Q$1,0)+1)*$AI12</f>
        <v>0</v>
      </c>
      <c r="FD12" s="2" cm="1">
        <f t="array" ref="FD12">INDEX(增益!$A$2:$Q$40,EX12,MATCH(FD$8,增益!$B$1:$Q$1,0)+1)*$AI12</f>
        <v>0</v>
      </c>
      <c r="FE12" s="2" cm="1">
        <f t="array" ref="FE12">INDEX(增益!$A$2:$Q$40,EX12,MATCH(FE$8,增益!$B$1:$Q$1,0)+1)*$AI12</f>
        <v>0</v>
      </c>
      <c r="FF12" s="2" cm="1">
        <f t="array" ref="FF12">INDEX(增益!$A$2:$Q$40,EX12,MATCH(FF$8,增益!$B$1:$Q$1,0)+1)*$AI12</f>
        <v>0</v>
      </c>
      <c r="FG12" s="2" cm="1">
        <f t="array" ref="FG12">INDEX(增益!$A$2:$Q$40,EX12,MATCH(FG$8,增益!$B$1:$Q$1,0)+1)*$AI12</f>
        <v>0</v>
      </c>
      <c r="FH12" s="2" cm="1">
        <f t="array" ref="FH12">INDEX(增益!$A$2:$Q$40,EX12,MATCH(FH$8,增益!$B$1:$Q$1,0)+1)*$AI12</f>
        <v>0</v>
      </c>
      <c r="FI12" s="2" cm="1">
        <f t="array" ref="FI12">INDEX(动作!$O$3:$O$113,EX7)</f>
        <v>0</v>
      </c>
      <c r="FJ12" s="2" cm="1">
        <f t="array" ref="FJ12">INDEX(动作!$P$3:$P$113,EX7)</f>
        <v>0</v>
      </c>
      <c r="FK12" s="2" cm="1">
        <f t="array" ref="FK12">INDEX(动作!$Q$3:$Q$113,EX7)</f>
        <v>0</v>
      </c>
      <c r="FL12" s="2" cm="1">
        <f t="array" ref="FL12">INDEX(动作!$R$3:$R$113,EX7)</f>
        <v>0</v>
      </c>
      <c r="FM12" s="2" cm="1">
        <f t="array" ref="FM12">INDEX(动作!$S$3:$S$113,EX7)</f>
        <v>0</v>
      </c>
      <c r="FO12" s="2" cm="1">
        <f t="array" ref="FO12">INDEX(增益!$A$2:$Q$40,EX12,MATCH(FO$8,增益!$B$1:$Q$1,0)+1)*$AI12</f>
        <v>0</v>
      </c>
      <c r="FP12" s="2" cm="1">
        <f t="array" ref="FP12">INDEX(增益!$A$2:$Q$40,EX12,MATCH(FP$8,增益!$B$1:$Q$1,0)+1)*$AI12</f>
        <v>0</v>
      </c>
      <c r="FQ12" s="2" cm="1">
        <f t="array" ref="FQ12">INDEX(增益!$A$2:$Q$40,EX12,MATCH(FQ$8,增益!$B$1:$Q$1,0)+1)*$AI12</f>
        <v>0</v>
      </c>
      <c r="FS12" s="2" cm="1">
        <f t="array" ref="FS12">INDEX(增益!$A$2:$Q$40,EX12,MATCH(FS$8,增益!$B$1:$Q$1,0)+1)*$AI12</f>
        <v>0</v>
      </c>
      <c r="FU12" s="2" cm="1">
        <f t="array" ref="FU12">INDEX(增益!$A$2:$Q$40,EX12,MATCH(FU$8,增益!$B$1:$Q$1,0)+1)*$AI12</f>
        <v>0</v>
      </c>
      <c r="FV12" s="2" cm="1">
        <f t="array" ref="FV12">INDEX(增益!$A$2:$Q$40,EX12,MATCH(FV$8,增益!$B$1:$Q$1,0)+1)*$AI12</f>
        <v>0</v>
      </c>
      <c r="FZ12" s="2" cm="1">
        <f t="array" ref="FZ12">INDEX(云配队!$J17:$AC17,1,FZ$1)</f>
        <v>0</v>
      </c>
      <c r="GA12" s="2">
        <f>IFERROR(MATCH(FZ12,增益!$A$2:$A$40,FALSE),1)</f>
        <v>1</v>
      </c>
      <c r="GB12" s="2" cm="1">
        <f t="array" ref="GB12">INDEX(增益!$A$2:$Q$40,GA12,MATCH(GB$8,增益!$B$1:$Q$1,0)+1)*$AI12</f>
        <v>0</v>
      </c>
      <c r="GC12" s="2" cm="1">
        <f t="array" ref="GC12">INDEX(增益!$A$2:$Q$40,GA12,MATCH(GC$8,增益!$B$1:$Q$1,0)+1)*$AI12</f>
        <v>0</v>
      </c>
      <c r="GD12" s="2" cm="1">
        <f t="array" ref="GD12">INDEX(增益!$A$2:$Q$40,GA12,MATCH(GD$8,增益!$B$1:$Q$1,0)+1)*$AI12</f>
        <v>0</v>
      </c>
      <c r="GE12" s="2" cm="1">
        <f t="array" ref="GE12">INDEX(增益!$A$2:$Q$40,GA12,MATCH(GE$8,增益!$B$1:$Q$1,0)+1)*$AI12</f>
        <v>0</v>
      </c>
      <c r="GF12" s="2" cm="1">
        <f t="array" ref="GF12">INDEX(增益!$A$2:$Q$40,GA12,MATCH(GF$8,增益!$B$1:$Q$1,0)+1)*$AI12</f>
        <v>0</v>
      </c>
      <c r="GG12" s="2" cm="1">
        <f t="array" ref="GG12">INDEX(增益!$A$2:$Q$40,GA12,MATCH(GG$8,增益!$B$1:$Q$1,0)+1)*$AI12</f>
        <v>0</v>
      </c>
      <c r="GH12" s="2" cm="1">
        <f t="array" ref="GH12">INDEX(增益!$A$2:$Q$40,GA12,MATCH(GH$8,增益!$B$1:$Q$1,0)+1)*$AI12</f>
        <v>0</v>
      </c>
      <c r="GI12" s="2" cm="1">
        <f t="array" ref="GI12">INDEX(增益!$A$2:$Q$40,GA12,MATCH(GI$8,增益!$B$1:$Q$1,0)+1)*$AI12</f>
        <v>0</v>
      </c>
      <c r="GJ12" s="2" cm="1">
        <f t="array" ref="GJ12">INDEX(增益!$A$2:$Q$40,GA12,MATCH(GJ$8,增益!$B$1:$Q$1,0)+1)*$AI12</f>
        <v>0</v>
      </c>
      <c r="GK12" s="2" cm="1">
        <f t="array" ref="GK12">INDEX(增益!$A$2:$Q$40,GA12,MATCH(GK$8,增益!$B$1:$Q$1,0)+1)*$AI12</f>
        <v>0</v>
      </c>
      <c r="GL12" s="2" cm="1">
        <f t="array" ref="GL12">INDEX(动作!$O$3:$O$113,GA7)</f>
        <v>0</v>
      </c>
      <c r="GM12" s="2" cm="1">
        <f t="array" ref="GM12">INDEX(动作!$P$3:$P$113,GA7)</f>
        <v>0</v>
      </c>
      <c r="GN12" s="2" cm="1">
        <f t="array" ref="GN12">INDEX(动作!$Q$3:$Q$113,GA7)</f>
        <v>0</v>
      </c>
      <c r="GO12" s="2" cm="1">
        <f t="array" ref="GO12">INDEX(动作!$R$3:$R$113,GA7)</f>
        <v>0</v>
      </c>
      <c r="GP12" s="2" cm="1">
        <f t="array" ref="GP12">INDEX(动作!$S$3:$S$113,GA7)</f>
        <v>0</v>
      </c>
      <c r="GR12" s="2" cm="1">
        <f t="array" ref="GR12">INDEX(增益!$A$2:$Q$40,GA12,MATCH(GR$8,增益!$B$1:$Q$1,0)+1)*$AI12</f>
        <v>0</v>
      </c>
      <c r="GS12" s="2" cm="1">
        <f t="array" ref="GS12">INDEX(增益!$A$2:$Q$40,GA12,MATCH(GS$8,增益!$B$1:$Q$1,0)+1)*$AI12</f>
        <v>0</v>
      </c>
      <c r="GT12" s="2" cm="1">
        <f t="array" ref="GT12">INDEX(增益!$A$2:$Q$40,GA12,MATCH(GT$8,增益!$B$1:$Q$1,0)+1)*$AI12</f>
        <v>0</v>
      </c>
      <c r="GV12" s="2" cm="1">
        <f t="array" ref="GV12">INDEX(增益!$A$2:$Q$40,GA12,MATCH(GV$8,增益!$B$1:$Q$1,0)+1)*$AI12</f>
        <v>0</v>
      </c>
      <c r="GX12" s="2" cm="1">
        <f t="array" ref="GX12">INDEX(增益!$A$2:$Q$40,GA12,MATCH(GX$8,增益!$B$1:$Q$1,0)+1)*$AI12</f>
        <v>0</v>
      </c>
      <c r="GY12" s="2" cm="1">
        <f t="array" ref="GY12">INDEX(增益!$A$2:$Q$40,GA12,MATCH(GY$8,增益!$B$1:$Q$1,0)+1)*$AI12</f>
        <v>0</v>
      </c>
      <c r="HC12" s="2" cm="1">
        <f t="array" ref="HC12">INDEX(云配队!$J17:$AC17,1,HC$1)</f>
        <v>0</v>
      </c>
      <c r="HD12" s="2">
        <f>IFERROR(MATCH(HC12,增益!$A$2:$A$40,FALSE),1)</f>
        <v>1</v>
      </c>
      <c r="HE12" s="2" cm="1">
        <f t="array" ref="HE12">INDEX(增益!$A$2:$Q$40,HD12,MATCH(HE$8,增益!$B$1:$Q$1,0)+1)*$AI12</f>
        <v>0</v>
      </c>
      <c r="HF12" s="2" cm="1">
        <f t="array" ref="HF12">INDEX(增益!$A$2:$Q$40,HD12,MATCH(HF$8,增益!$B$1:$Q$1,0)+1)*$AI12</f>
        <v>0</v>
      </c>
      <c r="HG12" s="2" cm="1">
        <f t="array" ref="HG12">INDEX(增益!$A$2:$Q$40,HD12,MATCH(HG$8,增益!$B$1:$Q$1,0)+1)*$AI12</f>
        <v>0</v>
      </c>
      <c r="HH12" s="2" cm="1">
        <f t="array" ref="HH12">INDEX(增益!$A$2:$Q$40,HD12,MATCH(HH$8,增益!$B$1:$Q$1,0)+1)*$AI12</f>
        <v>0</v>
      </c>
      <c r="HI12" s="2" cm="1">
        <f t="array" ref="HI12">INDEX(增益!$A$2:$Q$40,HD12,MATCH(HI$8,增益!$B$1:$Q$1,0)+1)*$AI12</f>
        <v>0</v>
      </c>
      <c r="HJ12" s="2" cm="1">
        <f t="array" ref="HJ12">INDEX(增益!$A$2:$Q$40,HD12,MATCH(HJ$8,增益!$B$1:$Q$1,0)+1)*$AI12</f>
        <v>0</v>
      </c>
      <c r="HK12" s="2" cm="1">
        <f t="array" ref="HK12">INDEX(增益!$A$2:$Q$40,HD12,MATCH(HK$8,增益!$B$1:$Q$1,0)+1)*$AI12</f>
        <v>0</v>
      </c>
      <c r="HL12" s="2" cm="1">
        <f t="array" ref="HL12">INDEX(增益!$A$2:$Q$40,HD12,MATCH(HL$8,增益!$B$1:$Q$1,0)+1)*$AI12</f>
        <v>0</v>
      </c>
      <c r="HM12" s="2" cm="1">
        <f t="array" ref="HM12">INDEX(增益!$A$2:$Q$40,HD12,MATCH(HM$8,增益!$B$1:$Q$1,0)+1)*$AI12</f>
        <v>0</v>
      </c>
      <c r="HN12" s="2" cm="1">
        <f t="array" ref="HN12">INDEX(增益!$A$2:$Q$40,HD12,MATCH(HN$8,增益!$B$1:$Q$1,0)+1)*$AI12</f>
        <v>0</v>
      </c>
      <c r="HO12" s="2" cm="1">
        <f t="array" ref="HO12">INDEX(动作!$O$3:$O$113,HD7)</f>
        <v>0</v>
      </c>
      <c r="HP12" s="2" cm="1">
        <f t="array" ref="HP12">INDEX(动作!$P$3:$P$113,HD7)</f>
        <v>0</v>
      </c>
      <c r="HQ12" s="2" cm="1">
        <f t="array" ref="HQ12">INDEX(动作!$Q$3:$Q$113,HD7)</f>
        <v>0</v>
      </c>
      <c r="HR12" s="2" cm="1">
        <f t="array" ref="HR12">INDEX(动作!$R$3:$R$113,HD7)</f>
        <v>0</v>
      </c>
      <c r="HS12" s="2" cm="1">
        <f t="array" ref="HS12">INDEX(动作!$S$3:$S$113,HD7)</f>
        <v>0</v>
      </c>
      <c r="HU12" s="2" cm="1">
        <f t="array" ref="HU12">INDEX(增益!$A$2:$Q$40,HD12,MATCH(HU$8,增益!$B$1:$Q$1,0)+1)*$AI12</f>
        <v>0</v>
      </c>
      <c r="HV12" s="2" cm="1">
        <f t="array" ref="HV12">INDEX(增益!$A$2:$Q$40,HD12,MATCH(HV$8,增益!$B$1:$Q$1,0)+1)*$AI12</f>
        <v>0</v>
      </c>
      <c r="HW12" s="2" cm="1">
        <f t="array" ref="HW12">INDEX(增益!$A$2:$Q$40,HD12,MATCH(HW$8,增益!$B$1:$Q$1,0)+1)*$AI12</f>
        <v>0</v>
      </c>
      <c r="HY12" s="2" cm="1">
        <f t="array" ref="HY12">INDEX(增益!$A$2:$Q$40,HD12,MATCH(HY$8,增益!$B$1:$Q$1,0)+1)*$AI12</f>
        <v>0</v>
      </c>
      <c r="IA12" s="2" cm="1">
        <f t="array" ref="IA12">INDEX(增益!$A$2:$Q$40,HD12,MATCH(IA$8,增益!$B$1:$Q$1,0)+1)*$AI12</f>
        <v>0</v>
      </c>
      <c r="IB12" s="2" cm="1">
        <f t="array" ref="IB12">INDEX(增益!$A$2:$Q$40,HD12,MATCH(IB$8,增益!$B$1:$Q$1,0)+1)*$AI12</f>
        <v>0</v>
      </c>
      <c r="IF12" s="2" cm="1">
        <f t="array" ref="IF12">INDEX(云配队!$J17:$AC17,1,IF$1)</f>
        <v>0</v>
      </c>
      <c r="IG12" s="2">
        <f>IFERROR(MATCH(IF12,增益!$A$2:$A$40,FALSE),1)</f>
        <v>1</v>
      </c>
      <c r="IH12" s="2" cm="1">
        <f t="array" ref="IH12">INDEX(增益!$A$2:$Q$40,IG12,MATCH(IH$8,增益!$B$1:$Q$1,0)+1)*$AI12</f>
        <v>0</v>
      </c>
      <c r="II12" s="2" cm="1">
        <f t="array" ref="II12">INDEX(增益!$A$2:$Q$40,IG12,MATCH(II$8,增益!$B$1:$Q$1,0)+1)*$AI12</f>
        <v>0</v>
      </c>
      <c r="IJ12" s="2" cm="1">
        <f t="array" ref="IJ12">INDEX(增益!$A$2:$Q$40,IG12,MATCH(IJ$8,增益!$B$1:$Q$1,0)+1)*$AI12</f>
        <v>0</v>
      </c>
      <c r="IK12" s="2" cm="1">
        <f t="array" ref="IK12">INDEX(增益!$A$2:$Q$40,IG12,MATCH(IK$8,增益!$B$1:$Q$1,0)+1)*$AI12</f>
        <v>0</v>
      </c>
      <c r="IL12" s="2" cm="1">
        <f t="array" ref="IL12">INDEX(增益!$A$2:$Q$40,IG12,MATCH(IL$8,增益!$B$1:$Q$1,0)+1)*$AI12</f>
        <v>0</v>
      </c>
      <c r="IM12" s="2" cm="1">
        <f t="array" ref="IM12">INDEX(增益!$A$2:$Q$40,IG12,MATCH(IM$8,增益!$B$1:$Q$1,0)+1)*$AI12</f>
        <v>0</v>
      </c>
      <c r="IN12" s="2" cm="1">
        <f t="array" ref="IN12">INDEX(增益!$A$2:$Q$40,IG12,MATCH(IN$8,增益!$B$1:$Q$1,0)+1)*$AI12</f>
        <v>0</v>
      </c>
      <c r="IO12" s="2" cm="1">
        <f t="array" ref="IO12">INDEX(增益!$A$2:$Q$40,IG12,MATCH(IO$8,增益!$B$1:$Q$1,0)+1)*$AI12</f>
        <v>0</v>
      </c>
      <c r="IP12" s="2" cm="1">
        <f t="array" ref="IP12">INDEX(增益!$A$2:$Q$40,IG12,MATCH(IP$8,增益!$B$1:$Q$1,0)+1)*$AI12</f>
        <v>0</v>
      </c>
      <c r="IQ12" s="2" cm="1">
        <f t="array" ref="IQ12">INDEX(增益!$A$2:$Q$40,IG12,MATCH(IQ$8,增益!$B$1:$Q$1,0)+1)*$AI12</f>
        <v>0</v>
      </c>
      <c r="IR12" s="2" cm="1">
        <f t="array" ref="IR12">INDEX(动作!$O$3:$O$113,IG7)</f>
        <v>0</v>
      </c>
      <c r="IS12" s="2" cm="1">
        <f t="array" ref="IS12">INDEX(动作!$P$3:$P$113,IG7)</f>
        <v>0</v>
      </c>
      <c r="IT12" s="2" cm="1">
        <f t="array" ref="IT12">INDEX(动作!$Q$3:$Q$113,IG7)</f>
        <v>0</v>
      </c>
      <c r="IU12" s="2" cm="1">
        <f t="array" ref="IU12">INDEX(动作!$R$3:$R$113,IG7)</f>
        <v>0</v>
      </c>
      <c r="IV12" s="2" cm="1">
        <f t="array" ref="IV12">INDEX(动作!$S$3:$S$113,IG7)</f>
        <v>0</v>
      </c>
      <c r="IX12" s="2" cm="1">
        <f t="array" ref="IX12">INDEX(增益!$A$2:$Q$40,IG12,MATCH(IX$8,增益!$B$1:$Q$1,0)+1)*$AI12</f>
        <v>0</v>
      </c>
      <c r="IY12" s="2" cm="1">
        <f t="array" ref="IY12">INDEX(增益!$A$2:$Q$40,IG12,MATCH(IY$8,增益!$B$1:$Q$1,0)+1)*$AI12</f>
        <v>0</v>
      </c>
      <c r="IZ12" s="2" cm="1">
        <f t="array" ref="IZ12">INDEX(增益!$A$2:$Q$40,IG12,MATCH(IZ$8,增益!$B$1:$Q$1,0)+1)*$AI12</f>
        <v>0</v>
      </c>
      <c r="JB12" s="2" cm="1">
        <f t="array" ref="JB12">INDEX(增益!$A$2:$Q$40,IG12,MATCH(JB$8,增益!$B$1:$Q$1,0)+1)*$AI12</f>
        <v>0</v>
      </c>
      <c r="JD12" s="2" cm="1">
        <f t="array" ref="JD12">INDEX(增益!$A$2:$Q$40,IG12,MATCH(JD$8,增益!$B$1:$Q$1,0)+1)*$AI12</f>
        <v>0</v>
      </c>
      <c r="JE12" s="2" cm="1">
        <f t="array" ref="JE12">INDEX(增益!$A$2:$Q$40,IG12,MATCH(JE$8,增益!$B$1:$Q$1,0)+1)*$AI12</f>
        <v>0</v>
      </c>
      <c r="JI12" s="2" cm="1">
        <f t="array" ref="JI12">INDEX(云配队!$J17:$AC17,1,JI$1)</f>
        <v>0</v>
      </c>
      <c r="JJ12" s="2">
        <f>IFERROR(MATCH(JI12,增益!$A$2:$A$40,FALSE),1)</f>
        <v>1</v>
      </c>
      <c r="JK12" s="2" cm="1">
        <f t="array" ref="JK12">INDEX(增益!$A$2:$Q$40,JJ12,MATCH(JK$8,增益!$B$1:$Q$1,0)+1)*$AI12</f>
        <v>0</v>
      </c>
      <c r="JL12" s="2" cm="1">
        <f t="array" ref="JL12">INDEX(增益!$A$2:$Q$40,JJ12,MATCH(JL$8,增益!$B$1:$Q$1,0)+1)*$AI12</f>
        <v>0</v>
      </c>
      <c r="JM12" s="2" cm="1">
        <f t="array" ref="JM12">INDEX(增益!$A$2:$Q$40,JJ12,MATCH(JM$8,增益!$B$1:$Q$1,0)+1)*$AI12</f>
        <v>0</v>
      </c>
      <c r="JN12" s="2" cm="1">
        <f t="array" ref="JN12">INDEX(增益!$A$2:$Q$40,JJ12,MATCH(JN$8,增益!$B$1:$Q$1,0)+1)*$AI12</f>
        <v>0</v>
      </c>
      <c r="JO12" s="2" cm="1">
        <f t="array" ref="JO12">INDEX(增益!$A$2:$Q$40,JJ12,MATCH(JO$8,增益!$B$1:$Q$1,0)+1)*$AI12</f>
        <v>0</v>
      </c>
      <c r="JP12" s="2" cm="1">
        <f t="array" ref="JP12">INDEX(增益!$A$2:$Q$40,JJ12,MATCH(JP$8,增益!$B$1:$Q$1,0)+1)*$AI12</f>
        <v>0</v>
      </c>
      <c r="JQ12" s="2" cm="1">
        <f t="array" ref="JQ12">INDEX(增益!$A$2:$Q$40,JJ12,MATCH(JQ$8,增益!$B$1:$Q$1,0)+1)*$AI12</f>
        <v>0</v>
      </c>
      <c r="JR12" s="2" cm="1">
        <f t="array" ref="JR12">INDEX(增益!$A$2:$Q$40,JJ12,MATCH(JR$8,增益!$B$1:$Q$1,0)+1)*$AI12</f>
        <v>0</v>
      </c>
      <c r="JS12" s="2" cm="1">
        <f t="array" ref="JS12">INDEX(增益!$A$2:$Q$40,JJ12,MATCH(JS$8,增益!$B$1:$Q$1,0)+1)*$AI12</f>
        <v>0</v>
      </c>
      <c r="JT12" s="2" cm="1">
        <f t="array" ref="JT12">INDEX(增益!$A$2:$Q$40,JJ12,MATCH(JT$8,增益!$B$1:$Q$1,0)+1)*$AI12</f>
        <v>0</v>
      </c>
      <c r="JU12" s="2" cm="1">
        <f t="array" ref="JU12">INDEX(动作!$O$3:$O$113,JJ7)</f>
        <v>0</v>
      </c>
      <c r="JV12" s="2" cm="1">
        <f t="array" ref="JV12">INDEX(动作!$P$3:$P$113,JJ7)</f>
        <v>0</v>
      </c>
      <c r="JW12" s="2" cm="1">
        <f t="array" ref="JW12">INDEX(动作!$Q$3:$Q$113,JJ7)</f>
        <v>0</v>
      </c>
      <c r="JX12" s="2" cm="1">
        <f t="array" ref="JX12">INDEX(动作!$R$3:$R$113,JJ7)</f>
        <v>0</v>
      </c>
      <c r="JY12" s="2" cm="1">
        <f t="array" ref="JY12">INDEX(动作!$S$3:$S$113,JJ7)</f>
        <v>0</v>
      </c>
      <c r="KA12" s="2" cm="1">
        <f t="array" ref="KA12">INDEX(增益!$A$2:$Q$40,JJ12,MATCH(KA$8,增益!$B$1:$Q$1,0)+1)*$AI12</f>
        <v>0</v>
      </c>
      <c r="KB12" s="2" cm="1">
        <f t="array" ref="KB12">INDEX(增益!$A$2:$Q$40,JJ12,MATCH(KB$8,增益!$B$1:$Q$1,0)+1)*$AI12</f>
        <v>0</v>
      </c>
      <c r="KC12" s="2" cm="1">
        <f t="array" ref="KC12">INDEX(增益!$A$2:$Q$40,JJ12,MATCH(KC$8,增益!$B$1:$Q$1,0)+1)*$AI12</f>
        <v>0</v>
      </c>
      <c r="KE12" s="2" cm="1">
        <f t="array" ref="KE12">INDEX(增益!$A$2:$Q$40,JJ12,MATCH(KE$8,增益!$B$1:$Q$1,0)+1)*$AI12</f>
        <v>0</v>
      </c>
      <c r="KG12" s="2" cm="1">
        <f t="array" ref="KG12">INDEX(增益!$A$2:$Q$40,JJ12,MATCH(KG$8,增益!$B$1:$Q$1,0)+1)*$AI12</f>
        <v>0</v>
      </c>
      <c r="KH12" s="2" cm="1">
        <f t="array" ref="KH12">INDEX(增益!$A$2:$Q$40,JJ12,MATCH(KH$8,增益!$B$1:$Q$1,0)+1)*$AI12</f>
        <v>0</v>
      </c>
      <c r="KL12" s="2" cm="1">
        <f t="array" ref="KL12">INDEX(云配队!$J17:$AC17,1,KL$1)</f>
        <v>0</v>
      </c>
      <c r="KM12" s="2">
        <f>IFERROR(MATCH(KL12,增益!$A$2:$A$40,FALSE),1)</f>
        <v>1</v>
      </c>
      <c r="KN12" s="2" cm="1">
        <f t="array" ref="KN12">INDEX(增益!$A$2:$Q$40,KM12,MATCH(KN$8,增益!$B$1:$Q$1,0)+1)*$AI12</f>
        <v>0</v>
      </c>
      <c r="KO12" s="2" cm="1">
        <f t="array" ref="KO12">INDEX(增益!$A$2:$Q$40,KM12,MATCH(KO$8,增益!$B$1:$Q$1,0)+1)*$AI12</f>
        <v>0</v>
      </c>
      <c r="KP12" s="2" cm="1">
        <f t="array" ref="KP12">INDEX(增益!$A$2:$Q$40,KM12,MATCH(KP$8,增益!$B$1:$Q$1,0)+1)*$AI12</f>
        <v>0</v>
      </c>
      <c r="KQ12" s="2" cm="1">
        <f t="array" ref="KQ12">INDEX(增益!$A$2:$Q$40,KM12,MATCH(KQ$8,增益!$B$1:$Q$1,0)+1)*$AI12</f>
        <v>0</v>
      </c>
      <c r="KR12" s="2" cm="1">
        <f t="array" ref="KR12">INDEX(增益!$A$2:$Q$40,KM12,MATCH(KR$8,增益!$B$1:$Q$1,0)+1)*$AI12</f>
        <v>0</v>
      </c>
      <c r="KS12" s="2" cm="1">
        <f t="array" ref="KS12">INDEX(增益!$A$2:$Q$40,KM12,MATCH(KS$8,增益!$B$1:$Q$1,0)+1)*$AI12</f>
        <v>0</v>
      </c>
      <c r="KT12" s="2" cm="1">
        <f t="array" ref="KT12">INDEX(增益!$A$2:$Q$40,KM12,MATCH(KT$8,增益!$B$1:$Q$1,0)+1)*$AI12</f>
        <v>0</v>
      </c>
      <c r="KU12" s="2" cm="1">
        <f t="array" ref="KU12">INDEX(增益!$A$2:$Q$40,KM12,MATCH(KU$8,增益!$B$1:$Q$1,0)+1)*$AI12</f>
        <v>0</v>
      </c>
      <c r="KV12" s="2" cm="1">
        <f t="array" ref="KV12">INDEX(增益!$A$2:$Q$40,KM12,MATCH(KV$8,增益!$B$1:$Q$1,0)+1)*$AI12</f>
        <v>0</v>
      </c>
      <c r="KW12" s="2" cm="1">
        <f t="array" ref="KW12">INDEX(增益!$A$2:$Q$40,KM12,MATCH(KW$8,增益!$B$1:$Q$1,0)+1)*$AI12</f>
        <v>0</v>
      </c>
      <c r="KX12" s="2" cm="1">
        <f t="array" ref="KX12">INDEX(动作!$O$3:$O$113,KM7)</f>
        <v>0</v>
      </c>
      <c r="KY12" s="2" cm="1">
        <f t="array" ref="KY12">INDEX(动作!$P$3:$P$113,KM7)</f>
        <v>0</v>
      </c>
      <c r="KZ12" s="2" cm="1">
        <f t="array" ref="KZ12">INDEX(动作!$Q$3:$Q$113,KM7)</f>
        <v>0</v>
      </c>
      <c r="LA12" s="2" cm="1">
        <f t="array" ref="LA12">INDEX(动作!$R$3:$R$113,KM7)</f>
        <v>0</v>
      </c>
      <c r="LB12" s="2" cm="1">
        <f t="array" ref="LB12">INDEX(动作!$S$3:$S$113,KM7)</f>
        <v>0</v>
      </c>
      <c r="LD12" s="2" cm="1">
        <f t="array" ref="LD12">INDEX(增益!$A$2:$Q$40,KM12,MATCH(LD$8,增益!$B$1:$Q$1,0)+1)*$AI12</f>
        <v>0</v>
      </c>
      <c r="LE12" s="2" cm="1">
        <f t="array" ref="LE12">INDEX(增益!$A$2:$Q$40,KM12,MATCH(LE$8,增益!$B$1:$Q$1,0)+1)*$AI12</f>
        <v>0</v>
      </c>
      <c r="LF12" s="2" cm="1">
        <f t="array" ref="LF12">INDEX(增益!$A$2:$Q$40,KM12,MATCH(LF$8,增益!$B$1:$Q$1,0)+1)*$AI12</f>
        <v>0</v>
      </c>
      <c r="LH12" s="2" cm="1">
        <f t="array" ref="LH12">INDEX(增益!$A$2:$Q$40,KM12,MATCH(LH$8,增益!$B$1:$Q$1,0)+1)*$AI12</f>
        <v>0</v>
      </c>
      <c r="LJ12" s="2" cm="1">
        <f t="array" ref="LJ12">INDEX(增益!$A$2:$Q$40,KM12,MATCH(LJ$8,增益!$B$1:$Q$1,0)+1)*$AI12</f>
        <v>0</v>
      </c>
      <c r="LK12" s="2" cm="1">
        <f t="array" ref="LK12">INDEX(增益!$A$2:$Q$40,KM12,MATCH(LK$8,增益!$B$1:$Q$1,0)+1)*$AI12</f>
        <v>0</v>
      </c>
      <c r="LO12" s="2" cm="1">
        <f t="array" ref="LO12">INDEX(云配队!$J17:$AC17,1,LO$1)</f>
        <v>0</v>
      </c>
      <c r="LP12" s="2">
        <f>IFERROR(MATCH(LO12,增益!$A$2:$A$40,FALSE),1)</f>
        <v>1</v>
      </c>
      <c r="LQ12" s="2" cm="1">
        <f t="array" ref="LQ12">INDEX(增益!$A$2:$Q$40,LP12,MATCH(LQ$8,增益!$B$1:$Q$1,0)+1)*$AI12</f>
        <v>0</v>
      </c>
      <c r="LR12" s="2" cm="1">
        <f t="array" ref="LR12">INDEX(增益!$A$2:$Q$40,LP12,MATCH(LR$8,增益!$B$1:$Q$1,0)+1)*$AI12</f>
        <v>0</v>
      </c>
      <c r="LS12" s="2" cm="1">
        <f t="array" ref="LS12">INDEX(增益!$A$2:$Q$40,LP12,MATCH(LS$8,增益!$B$1:$Q$1,0)+1)*$AI12</f>
        <v>0</v>
      </c>
      <c r="LT12" s="2" cm="1">
        <f t="array" ref="LT12">INDEX(增益!$A$2:$Q$40,LP12,MATCH(LT$8,增益!$B$1:$Q$1,0)+1)*$AI12</f>
        <v>0</v>
      </c>
      <c r="LU12" s="2" cm="1">
        <f t="array" ref="LU12">INDEX(增益!$A$2:$Q$40,LP12,MATCH(LU$8,增益!$B$1:$Q$1,0)+1)*$AI12</f>
        <v>0</v>
      </c>
      <c r="LV12" s="2" cm="1">
        <f t="array" ref="LV12">INDEX(增益!$A$2:$Q$40,LP12,MATCH(LV$8,增益!$B$1:$Q$1,0)+1)*$AI12</f>
        <v>0</v>
      </c>
      <c r="LW12" s="2" cm="1">
        <f t="array" ref="LW12">INDEX(增益!$A$2:$Q$40,LP12,MATCH(LW$8,增益!$B$1:$Q$1,0)+1)*$AI12</f>
        <v>0</v>
      </c>
      <c r="LX12" s="2" cm="1">
        <f t="array" ref="LX12">INDEX(增益!$A$2:$Q$40,LP12,MATCH(LX$8,增益!$B$1:$Q$1,0)+1)*$AI12</f>
        <v>0</v>
      </c>
      <c r="LY12" s="2" cm="1">
        <f t="array" ref="LY12">INDEX(增益!$A$2:$Q$40,LP12,MATCH(LY$8,增益!$B$1:$Q$1,0)+1)*$AI12</f>
        <v>0</v>
      </c>
      <c r="LZ12" s="2" cm="1">
        <f t="array" ref="LZ12">INDEX(增益!$A$2:$Q$40,LP12,MATCH(LZ$8,增益!$B$1:$Q$1,0)+1)*$AI12</f>
        <v>0</v>
      </c>
      <c r="MA12" s="2" cm="1">
        <f t="array" ref="MA12">INDEX(动作!$O$3:$O$113,LP7)</f>
        <v>0</v>
      </c>
      <c r="MB12" s="2" cm="1">
        <f t="array" ref="MB12">INDEX(动作!$P$3:$P$113,LP7)</f>
        <v>0</v>
      </c>
      <c r="MC12" s="2" cm="1">
        <f t="array" ref="MC12">INDEX(动作!$Q$3:$Q$113,LP7)</f>
        <v>0</v>
      </c>
      <c r="MD12" s="2" cm="1">
        <f t="array" ref="MD12">INDEX(动作!$R$3:$R$113,LP7)</f>
        <v>0</v>
      </c>
      <c r="ME12" s="2" cm="1">
        <f t="array" ref="ME12">INDEX(动作!$S$3:$S$113,LP7)</f>
        <v>0</v>
      </c>
      <c r="MG12" s="2" cm="1">
        <f t="array" ref="MG12">INDEX(增益!$A$2:$Q$40,LP12,MATCH(MG$8,增益!$B$1:$Q$1,0)+1)*$AI12</f>
        <v>0</v>
      </c>
      <c r="MH12" s="2" cm="1">
        <f t="array" ref="MH12">INDEX(增益!$A$2:$Q$40,LP12,MATCH(MH$8,增益!$B$1:$Q$1,0)+1)*$AI12</f>
        <v>0</v>
      </c>
      <c r="MI12" s="2" cm="1">
        <f t="array" ref="MI12">INDEX(增益!$A$2:$Q$40,LP12,MATCH(MI$8,增益!$B$1:$Q$1,0)+1)*$AI12</f>
        <v>0</v>
      </c>
      <c r="MK12" s="2" cm="1">
        <f t="array" ref="MK12">INDEX(增益!$A$2:$Q$40,LP12,MATCH(MK$8,增益!$B$1:$Q$1,0)+1)*$AI12</f>
        <v>0</v>
      </c>
      <c r="MM12" s="2" cm="1">
        <f t="array" ref="MM12">INDEX(增益!$A$2:$Q$40,LP12,MATCH(MM$8,增益!$B$1:$Q$1,0)+1)*$AI12</f>
        <v>0</v>
      </c>
      <c r="MN12" s="2" cm="1">
        <f t="array" ref="MN12">INDEX(增益!$A$2:$Q$40,LP12,MATCH(MN$8,增益!$B$1:$Q$1,0)+1)*$AI12</f>
        <v>0</v>
      </c>
      <c r="MR12" s="2" cm="1">
        <f t="array" ref="MR12">INDEX(云配队!$J17:$AC17,1,MR$1)</f>
        <v>0</v>
      </c>
      <c r="MS12" s="2">
        <f>IFERROR(MATCH(MR12,增益!$A$2:$A$40,FALSE),1)</f>
        <v>1</v>
      </c>
      <c r="MT12" s="2" cm="1">
        <f t="array" ref="MT12">INDEX(增益!$A$2:$Q$40,MS12,MATCH(MT$8,增益!$B$1:$Q$1,0)+1)*$AI12</f>
        <v>0</v>
      </c>
      <c r="MU12" s="2" cm="1">
        <f t="array" ref="MU12">INDEX(增益!$A$2:$Q$40,MS12,MATCH(MU$8,增益!$B$1:$Q$1,0)+1)*$AI12</f>
        <v>0</v>
      </c>
      <c r="MV12" s="2" cm="1">
        <f t="array" ref="MV12">INDEX(增益!$A$2:$Q$40,MS12,MATCH(MV$8,增益!$B$1:$Q$1,0)+1)*$AI12</f>
        <v>0</v>
      </c>
      <c r="MW12" s="2" cm="1">
        <f t="array" ref="MW12">INDEX(增益!$A$2:$Q$40,MS12,MATCH(MW$8,增益!$B$1:$Q$1,0)+1)*$AI12</f>
        <v>0</v>
      </c>
      <c r="MX12" s="2" cm="1">
        <f t="array" ref="MX12">INDEX(增益!$A$2:$Q$40,MS12,MATCH(MX$8,增益!$B$1:$Q$1,0)+1)*$AI12</f>
        <v>0</v>
      </c>
      <c r="MY12" s="2" cm="1">
        <f t="array" ref="MY12">INDEX(增益!$A$2:$Q$40,MS12,MATCH(MY$8,增益!$B$1:$Q$1,0)+1)*$AI12</f>
        <v>0</v>
      </c>
      <c r="MZ12" s="2" cm="1">
        <f t="array" ref="MZ12">INDEX(增益!$A$2:$Q$40,MS12,MATCH(MZ$8,增益!$B$1:$Q$1,0)+1)*$AI12</f>
        <v>0</v>
      </c>
      <c r="NA12" s="2" cm="1">
        <f t="array" ref="NA12">INDEX(增益!$A$2:$Q$40,MS12,MATCH(NA$8,增益!$B$1:$Q$1,0)+1)*$AI12</f>
        <v>0</v>
      </c>
      <c r="NB12" s="2" cm="1">
        <f t="array" ref="NB12">INDEX(增益!$A$2:$Q$40,MS12,MATCH(NB$8,增益!$B$1:$Q$1,0)+1)*$AI12</f>
        <v>0</v>
      </c>
      <c r="NC12" s="2" cm="1">
        <f t="array" ref="NC12">INDEX(增益!$A$2:$Q$40,MS12,MATCH(NC$8,增益!$B$1:$Q$1,0)+1)*$AI12</f>
        <v>0</v>
      </c>
      <c r="ND12" s="2" cm="1">
        <f t="array" ref="ND12">INDEX(动作!$O$3:$O$113,MS7)</f>
        <v>0</v>
      </c>
      <c r="NE12" s="2" cm="1">
        <f t="array" ref="NE12">INDEX(动作!$P$3:$P$113,MS7)</f>
        <v>0</v>
      </c>
      <c r="NF12" s="2" cm="1">
        <f t="array" ref="NF12">INDEX(动作!$Q$3:$Q$113,MS7)</f>
        <v>0</v>
      </c>
      <c r="NG12" s="2" cm="1">
        <f t="array" ref="NG12">INDEX(动作!$R$3:$R$113,MS7)</f>
        <v>0</v>
      </c>
      <c r="NH12" s="2" cm="1">
        <f t="array" ref="NH12">INDEX(动作!$S$3:$S$113,MS7)</f>
        <v>0</v>
      </c>
      <c r="NJ12" s="2" cm="1">
        <f t="array" ref="NJ12">INDEX(增益!$A$2:$Q$40,MS12,MATCH(NJ$8,增益!$B$1:$Q$1,0)+1)*$AI12</f>
        <v>0</v>
      </c>
      <c r="NK12" s="2" cm="1">
        <f t="array" ref="NK12">INDEX(增益!$A$2:$Q$40,MS12,MATCH(NK$8,增益!$B$1:$Q$1,0)+1)*$AI12</f>
        <v>0</v>
      </c>
      <c r="NL12" s="2" cm="1">
        <f t="array" ref="NL12">INDEX(增益!$A$2:$Q$40,MS12,MATCH(NL$8,增益!$B$1:$Q$1,0)+1)*$AI12</f>
        <v>0</v>
      </c>
      <c r="NN12" s="2" cm="1">
        <f t="array" ref="NN12">INDEX(增益!$A$2:$Q$40,MS12,MATCH(NN$8,增益!$B$1:$Q$1,0)+1)*$AI12</f>
        <v>0</v>
      </c>
      <c r="NP12" s="2" cm="1">
        <f t="array" ref="NP12">INDEX(增益!$A$2:$Q$40,MS12,MATCH(NP$8,增益!$B$1:$Q$1,0)+1)*$AI12</f>
        <v>0</v>
      </c>
      <c r="NQ12" s="2" cm="1">
        <f t="array" ref="NQ12">INDEX(增益!$A$2:$Q$40,MS12,MATCH(NQ$8,增益!$B$1:$Q$1,0)+1)*$AI12</f>
        <v>0</v>
      </c>
      <c r="NU12" s="2" cm="1">
        <f t="array" ref="NU12">INDEX(云配队!$J17:$AC17,1,NU$1)</f>
        <v>0</v>
      </c>
      <c r="NV12" s="2">
        <f>IFERROR(MATCH(NU12,增益!$A$2:$A$40,FALSE),1)</f>
        <v>1</v>
      </c>
      <c r="NW12" s="2" cm="1">
        <f t="array" ref="NW12">INDEX(增益!$A$2:$Q$40,NV12,MATCH(NW$8,增益!$B$1:$Q$1,0)+1)*$AI12</f>
        <v>0</v>
      </c>
      <c r="NX12" s="2" cm="1">
        <f t="array" ref="NX12">INDEX(增益!$A$2:$Q$40,NV12,MATCH(NX$8,增益!$B$1:$Q$1,0)+1)*$AI12</f>
        <v>0</v>
      </c>
      <c r="NY12" s="2" cm="1">
        <f t="array" ref="NY12">INDEX(增益!$A$2:$Q$40,NV12,MATCH(NY$8,增益!$B$1:$Q$1,0)+1)*$AI12</f>
        <v>0</v>
      </c>
      <c r="NZ12" s="2" cm="1">
        <f t="array" ref="NZ12">INDEX(增益!$A$2:$Q$40,NV12,MATCH(NZ$8,增益!$B$1:$Q$1,0)+1)*$AI12</f>
        <v>0</v>
      </c>
      <c r="OA12" s="2" cm="1">
        <f t="array" ref="OA12">INDEX(增益!$A$2:$Q$40,NV12,MATCH(OA$8,增益!$B$1:$Q$1,0)+1)*$AI12</f>
        <v>0</v>
      </c>
      <c r="OB12" s="2" cm="1">
        <f t="array" ref="OB12">INDEX(增益!$A$2:$Q$40,NV12,MATCH(OB$8,增益!$B$1:$Q$1,0)+1)*$AI12</f>
        <v>0</v>
      </c>
      <c r="OC12" s="2" cm="1">
        <f t="array" ref="OC12">INDEX(增益!$A$2:$Q$40,NV12,MATCH(OC$8,增益!$B$1:$Q$1,0)+1)*$AI12</f>
        <v>0</v>
      </c>
      <c r="OD12" s="2" cm="1">
        <f t="array" ref="OD12">INDEX(增益!$A$2:$Q$40,NV12,MATCH(OD$8,增益!$B$1:$Q$1,0)+1)*$AI12</f>
        <v>0</v>
      </c>
      <c r="OE12" s="2" cm="1">
        <f t="array" ref="OE12">INDEX(增益!$A$2:$Q$40,NV12,MATCH(OE$8,增益!$B$1:$Q$1,0)+1)*$AI12</f>
        <v>0</v>
      </c>
      <c r="OF12" s="2" cm="1">
        <f t="array" ref="OF12">INDEX(增益!$A$2:$Q$40,NV12,MATCH(OF$8,增益!$B$1:$Q$1,0)+1)*$AI12</f>
        <v>0</v>
      </c>
      <c r="OG12" s="2" cm="1">
        <f t="array" ref="OG12">INDEX(动作!$O$3:$O$113,NV7)</f>
        <v>0</v>
      </c>
      <c r="OH12" s="2" cm="1">
        <f t="array" ref="OH12">INDEX(动作!$P$3:$P$113,NV7)</f>
        <v>0</v>
      </c>
      <c r="OI12" s="2" cm="1">
        <f t="array" ref="OI12">INDEX(动作!$Q$3:$Q$113,NV7)</f>
        <v>0</v>
      </c>
      <c r="OJ12" s="2" cm="1">
        <f t="array" ref="OJ12">INDEX(动作!$R$3:$R$113,NV7)</f>
        <v>0</v>
      </c>
      <c r="OK12" s="2" cm="1">
        <f t="array" ref="OK12">INDEX(动作!$S$3:$S$113,NV7)</f>
        <v>0</v>
      </c>
      <c r="OM12" s="2" cm="1">
        <f t="array" ref="OM12">INDEX(增益!$A$2:$Q$40,NV12,MATCH(OM$8,增益!$B$1:$Q$1,0)+1)*$AI12</f>
        <v>0</v>
      </c>
      <c r="ON12" s="2" cm="1">
        <f t="array" ref="ON12">INDEX(增益!$A$2:$Q$40,NV12,MATCH(ON$8,增益!$B$1:$Q$1,0)+1)*$AI12</f>
        <v>0</v>
      </c>
      <c r="OO12" s="2" cm="1">
        <f t="array" ref="OO12">INDEX(增益!$A$2:$Q$40,NV12,MATCH(OO$8,增益!$B$1:$Q$1,0)+1)*$AI12</f>
        <v>0</v>
      </c>
      <c r="OQ12" s="2" cm="1">
        <f t="array" ref="OQ12">INDEX(增益!$A$2:$Q$40,NV12,MATCH(OQ$8,增益!$B$1:$Q$1,0)+1)*$AI12</f>
        <v>0</v>
      </c>
      <c r="OS12" s="2" cm="1">
        <f t="array" ref="OS12">INDEX(增益!$A$2:$Q$40,NV12,MATCH(OS$8,增益!$B$1:$Q$1,0)+1)*$AI12</f>
        <v>0</v>
      </c>
      <c r="OT12" s="2" cm="1">
        <f t="array" ref="OT12">INDEX(增益!$A$2:$Q$40,NV12,MATCH(OT$8,增益!$B$1:$Q$1,0)+1)*$AI12</f>
        <v>0</v>
      </c>
      <c r="OX12" s="2" cm="1">
        <f t="array" ref="OX12">INDEX(云配队!$J17:$AC17,1,OX$1)</f>
        <v>0</v>
      </c>
      <c r="OY12" s="2">
        <f>IFERROR(MATCH(OX12,增益!$A$2:$A$40,FALSE),1)</f>
        <v>1</v>
      </c>
      <c r="OZ12" s="2" cm="1">
        <f t="array" ref="OZ12">INDEX(增益!$A$2:$Q$40,OY12,MATCH(OZ$8,增益!$B$1:$Q$1,0)+1)*$AI12</f>
        <v>0</v>
      </c>
      <c r="PA12" s="2" cm="1">
        <f t="array" ref="PA12">INDEX(增益!$A$2:$Q$40,OY12,MATCH(PA$8,增益!$B$1:$Q$1,0)+1)*$AI12</f>
        <v>0</v>
      </c>
      <c r="PB12" s="2" cm="1">
        <f t="array" ref="PB12">INDEX(增益!$A$2:$Q$40,OY12,MATCH(PB$8,增益!$B$1:$Q$1,0)+1)*$AI12</f>
        <v>0</v>
      </c>
      <c r="PC12" s="2" cm="1">
        <f t="array" ref="PC12">INDEX(增益!$A$2:$Q$40,OY12,MATCH(PC$8,增益!$B$1:$Q$1,0)+1)*$AI12</f>
        <v>0</v>
      </c>
      <c r="PD12" s="2" cm="1">
        <f t="array" ref="PD12">INDEX(增益!$A$2:$Q$40,OY12,MATCH(PD$8,增益!$B$1:$Q$1,0)+1)*$AI12</f>
        <v>0</v>
      </c>
      <c r="PE12" s="2" cm="1">
        <f t="array" ref="PE12">INDEX(增益!$A$2:$Q$40,OY12,MATCH(PE$8,增益!$B$1:$Q$1,0)+1)*$AI12</f>
        <v>0</v>
      </c>
      <c r="PF12" s="2" cm="1">
        <f t="array" ref="PF12">INDEX(增益!$A$2:$Q$40,OY12,MATCH(PF$8,增益!$B$1:$Q$1,0)+1)*$AI12</f>
        <v>0</v>
      </c>
      <c r="PG12" s="2" cm="1">
        <f t="array" ref="PG12">INDEX(增益!$A$2:$Q$40,OY12,MATCH(PG$8,增益!$B$1:$Q$1,0)+1)*$AI12</f>
        <v>0</v>
      </c>
      <c r="PH12" s="2" cm="1">
        <f t="array" ref="PH12">INDEX(增益!$A$2:$Q$40,OY12,MATCH(PH$8,增益!$B$1:$Q$1,0)+1)*$AI12</f>
        <v>0</v>
      </c>
      <c r="PI12" s="2" cm="1">
        <f t="array" ref="PI12">INDEX(增益!$A$2:$Q$40,OY12,MATCH(PI$8,增益!$B$1:$Q$1,0)+1)*$AI12</f>
        <v>0</v>
      </c>
      <c r="PJ12" s="2" cm="1">
        <f t="array" ref="PJ12">INDEX(动作!$O$3:$O$113,OY7)</f>
        <v>0</v>
      </c>
      <c r="PK12" s="2" cm="1">
        <f t="array" ref="PK12">INDEX(动作!$P$3:$P$113,OY7)</f>
        <v>0</v>
      </c>
      <c r="PL12" s="2" cm="1">
        <f t="array" ref="PL12">INDEX(动作!$Q$3:$Q$113,OY7)</f>
        <v>0</v>
      </c>
      <c r="PM12" s="2" cm="1">
        <f t="array" ref="PM12">INDEX(动作!$R$3:$R$113,OY7)</f>
        <v>0</v>
      </c>
      <c r="PN12" s="2" cm="1">
        <f t="array" ref="PN12">INDEX(动作!$S$3:$S$113,OY7)</f>
        <v>0</v>
      </c>
      <c r="PP12" s="2" cm="1">
        <f t="array" ref="PP12">INDEX(增益!$A$2:$Q$40,OY12,MATCH(PP$8,增益!$B$1:$Q$1,0)+1)*$AI12</f>
        <v>0</v>
      </c>
      <c r="PQ12" s="2" cm="1">
        <f t="array" ref="PQ12">INDEX(增益!$A$2:$Q$40,OY12,MATCH(PQ$8,增益!$B$1:$Q$1,0)+1)*$AI12</f>
        <v>0</v>
      </c>
      <c r="PR12" s="2" cm="1">
        <f t="array" ref="PR12">INDEX(增益!$A$2:$Q$40,OY12,MATCH(PR$8,增益!$B$1:$Q$1,0)+1)*$AI12</f>
        <v>0</v>
      </c>
      <c r="PT12" s="2" cm="1">
        <f t="array" ref="PT12">INDEX(增益!$A$2:$Q$40,OY12,MATCH(PT$8,增益!$B$1:$Q$1,0)+1)*$AI12</f>
        <v>0</v>
      </c>
      <c r="PV12" s="2" cm="1">
        <f t="array" ref="PV12">INDEX(增益!$A$2:$Q$40,OY12,MATCH(PV$8,增益!$B$1:$Q$1,0)+1)*$AI12</f>
        <v>0</v>
      </c>
      <c r="PW12" s="2" cm="1">
        <f t="array" ref="PW12">INDEX(增益!$A$2:$Q$40,OY12,MATCH(PW$8,增益!$B$1:$Q$1,0)+1)*$AI12</f>
        <v>0</v>
      </c>
      <c r="QA12" s="2" cm="1">
        <f t="array" ref="QA12">INDEX(云配队!$J17:$AC17,1,QA$1)</f>
        <v>0</v>
      </c>
      <c r="QB12" s="2">
        <f>IFERROR(MATCH(QA12,增益!$A$2:$A$40,FALSE),1)</f>
        <v>1</v>
      </c>
      <c r="QC12" s="2" cm="1">
        <f t="array" ref="QC12">INDEX(增益!$A$2:$Q$40,QB12,MATCH(QC$8,增益!$B$1:$Q$1,0)+1)*$AI12</f>
        <v>0</v>
      </c>
      <c r="QD12" s="2" cm="1">
        <f t="array" ref="QD12">INDEX(增益!$A$2:$Q$40,QB12,MATCH(QD$8,增益!$B$1:$Q$1,0)+1)*$AI12</f>
        <v>0</v>
      </c>
      <c r="QE12" s="2" cm="1">
        <f t="array" ref="QE12">INDEX(增益!$A$2:$Q$40,QB12,MATCH(QE$8,增益!$B$1:$Q$1,0)+1)*$AI12</f>
        <v>0</v>
      </c>
      <c r="QF12" s="2" cm="1">
        <f t="array" ref="QF12">INDEX(增益!$A$2:$Q$40,QB12,MATCH(QF$8,增益!$B$1:$Q$1,0)+1)*$AI12</f>
        <v>0</v>
      </c>
      <c r="QG12" s="2" cm="1">
        <f t="array" ref="QG12">INDEX(增益!$A$2:$Q$40,QB12,MATCH(QG$8,增益!$B$1:$Q$1,0)+1)*$AI12</f>
        <v>0</v>
      </c>
      <c r="QH12" s="2" cm="1">
        <f t="array" ref="QH12">INDEX(增益!$A$2:$Q$40,QB12,MATCH(QH$8,增益!$B$1:$Q$1,0)+1)*$AI12</f>
        <v>0</v>
      </c>
      <c r="QI12" s="2" cm="1">
        <f t="array" ref="QI12">INDEX(增益!$A$2:$Q$40,QB12,MATCH(QI$8,增益!$B$1:$Q$1,0)+1)*$AI12</f>
        <v>0</v>
      </c>
      <c r="QJ12" s="2" cm="1">
        <f t="array" ref="QJ12">INDEX(增益!$A$2:$Q$40,QB12,MATCH(QJ$8,增益!$B$1:$Q$1,0)+1)*$AI12</f>
        <v>0</v>
      </c>
      <c r="QK12" s="2" cm="1">
        <f t="array" ref="QK12">INDEX(增益!$A$2:$Q$40,QB12,MATCH(QK$8,增益!$B$1:$Q$1,0)+1)*$AI12</f>
        <v>0</v>
      </c>
      <c r="QL12" s="2" cm="1">
        <f t="array" ref="QL12">INDEX(增益!$A$2:$Q$40,QB12,MATCH(QL$8,增益!$B$1:$Q$1,0)+1)*$AI12</f>
        <v>0</v>
      </c>
      <c r="QM12" s="2" cm="1">
        <f t="array" ref="QM12">INDEX(动作!$O$3:$O$113,QB7)</f>
        <v>0</v>
      </c>
      <c r="QN12" s="2" cm="1">
        <f t="array" ref="QN12">INDEX(动作!$P$3:$P$113,QB7)</f>
        <v>0</v>
      </c>
      <c r="QO12" s="2" cm="1">
        <f t="array" ref="QO12">INDEX(动作!$Q$3:$Q$113,QB7)</f>
        <v>0</v>
      </c>
      <c r="QP12" s="2" cm="1">
        <f t="array" ref="QP12">INDEX(动作!$R$3:$R$113,QB7)</f>
        <v>0</v>
      </c>
      <c r="QQ12" s="2" cm="1">
        <f t="array" ref="QQ12">INDEX(动作!$S$3:$S$113,QB7)</f>
        <v>0</v>
      </c>
      <c r="QS12" s="2" cm="1">
        <f t="array" ref="QS12">INDEX(增益!$A$2:$Q$40,QB12,MATCH(QS$8,增益!$B$1:$Q$1,0)+1)*$AI12</f>
        <v>0</v>
      </c>
      <c r="QT12" s="2" cm="1">
        <f t="array" ref="QT12">INDEX(增益!$A$2:$Q$40,QB12,MATCH(QT$8,增益!$B$1:$Q$1,0)+1)*$AI12</f>
        <v>0</v>
      </c>
      <c r="QU12" s="2" cm="1">
        <f t="array" ref="QU12">INDEX(增益!$A$2:$Q$40,QB12,MATCH(QU$8,增益!$B$1:$Q$1,0)+1)*$AI12</f>
        <v>0</v>
      </c>
      <c r="QW12" s="2" cm="1">
        <f t="array" ref="QW12">INDEX(增益!$A$2:$Q$40,QB12,MATCH(QW$8,增益!$B$1:$Q$1,0)+1)*$AI12</f>
        <v>0</v>
      </c>
      <c r="QY12" s="2" cm="1">
        <f t="array" ref="QY12">INDEX(增益!$A$2:$Q$40,QB12,MATCH(QY$8,增益!$B$1:$Q$1,0)+1)*$AI12</f>
        <v>0</v>
      </c>
      <c r="QZ12" s="2" cm="1">
        <f t="array" ref="QZ12">INDEX(增益!$A$2:$Q$40,QB12,MATCH(QZ$8,增益!$B$1:$Q$1,0)+1)*$AI12</f>
        <v>0</v>
      </c>
      <c r="RD12" s="2" cm="1">
        <f t="array" ref="RD12">INDEX(云配队!$J17:$AC17,1,RD$1)</f>
        <v>0</v>
      </c>
      <c r="RE12" s="2">
        <f>IFERROR(MATCH(RD12,增益!$A$2:$A$40,FALSE),1)</f>
        <v>1</v>
      </c>
      <c r="RF12" s="2" cm="1">
        <f t="array" ref="RF12">INDEX(增益!$A$2:$Q$40,RE12,MATCH(RF$8,增益!$B$1:$Q$1,0)+1)*$AI12</f>
        <v>0</v>
      </c>
      <c r="RG12" s="2" cm="1">
        <f t="array" ref="RG12">INDEX(增益!$A$2:$Q$40,RE12,MATCH(RG$8,增益!$B$1:$Q$1,0)+1)*$AI12</f>
        <v>0</v>
      </c>
      <c r="RH12" s="2" cm="1">
        <f t="array" ref="RH12">INDEX(增益!$A$2:$Q$40,RE12,MATCH(RH$8,增益!$B$1:$Q$1,0)+1)*$AI12</f>
        <v>0</v>
      </c>
      <c r="RI12" s="2" cm="1">
        <f t="array" ref="RI12">INDEX(增益!$A$2:$Q$40,RE12,MATCH(RI$8,增益!$B$1:$Q$1,0)+1)*$AI12</f>
        <v>0</v>
      </c>
      <c r="RJ12" s="2" cm="1">
        <f t="array" ref="RJ12">INDEX(增益!$A$2:$Q$40,RE12,MATCH(RJ$8,增益!$B$1:$Q$1,0)+1)*$AI12</f>
        <v>0</v>
      </c>
      <c r="RK12" s="2" cm="1">
        <f t="array" ref="RK12">INDEX(增益!$A$2:$Q$40,RE12,MATCH(RK$8,增益!$B$1:$Q$1,0)+1)*$AI12</f>
        <v>0</v>
      </c>
      <c r="RL12" s="2" cm="1">
        <f t="array" ref="RL12">INDEX(增益!$A$2:$Q$40,RE12,MATCH(RL$8,增益!$B$1:$Q$1,0)+1)*$AI12</f>
        <v>0</v>
      </c>
      <c r="RM12" s="2" cm="1">
        <f t="array" ref="RM12">INDEX(增益!$A$2:$Q$40,RE12,MATCH(RM$8,增益!$B$1:$Q$1,0)+1)*$AI12</f>
        <v>0</v>
      </c>
      <c r="RN12" s="2" cm="1">
        <f t="array" ref="RN12">INDEX(增益!$A$2:$Q$40,RE12,MATCH(RN$8,增益!$B$1:$Q$1,0)+1)*$AI12</f>
        <v>0</v>
      </c>
      <c r="RO12" s="2" cm="1">
        <f t="array" ref="RO12">INDEX(增益!$A$2:$Q$40,RE12,MATCH(RO$8,增益!$B$1:$Q$1,0)+1)*$AI12</f>
        <v>0</v>
      </c>
      <c r="RP12" s="2" cm="1">
        <f t="array" ref="RP12">INDEX(动作!$O$3:$O$113,RE7)</f>
        <v>0</v>
      </c>
      <c r="RQ12" s="2" cm="1">
        <f t="array" ref="RQ12">INDEX(动作!$P$3:$P$113,RE7)</f>
        <v>0</v>
      </c>
      <c r="RR12" s="2" cm="1">
        <f t="array" ref="RR12">INDEX(动作!$Q$3:$Q$113,RE7)</f>
        <v>0</v>
      </c>
      <c r="RS12" s="2" cm="1">
        <f t="array" ref="RS12">INDEX(动作!$R$3:$R$113,RE7)</f>
        <v>0</v>
      </c>
      <c r="RT12" s="2" cm="1">
        <f t="array" ref="RT12">INDEX(动作!$S$3:$S$113,RE7)</f>
        <v>0</v>
      </c>
      <c r="RV12" s="2" cm="1">
        <f t="array" ref="RV12">INDEX(增益!$A$2:$Q$40,RE12,MATCH(RV$8,增益!$B$1:$Q$1,0)+1)*$AI12</f>
        <v>0</v>
      </c>
      <c r="RW12" s="2" cm="1">
        <f t="array" ref="RW12">INDEX(增益!$A$2:$Q$40,RE12,MATCH(RW$8,增益!$B$1:$Q$1,0)+1)*$AI12</f>
        <v>0</v>
      </c>
      <c r="RX12" s="2" cm="1">
        <f t="array" ref="RX12">INDEX(增益!$A$2:$Q$40,RE12,MATCH(RX$8,增益!$B$1:$Q$1,0)+1)*$AI12</f>
        <v>0</v>
      </c>
      <c r="RZ12" s="2" cm="1">
        <f t="array" ref="RZ12">INDEX(增益!$A$2:$Q$40,RE12,MATCH(RZ$8,增益!$B$1:$Q$1,0)+1)*$AI12</f>
        <v>0</v>
      </c>
      <c r="SB12" s="2" cm="1">
        <f t="array" ref="SB12">INDEX(增益!$A$2:$Q$40,RE12,MATCH(SB$8,增益!$B$1:$Q$1,0)+1)*$AI12</f>
        <v>0</v>
      </c>
      <c r="SC12" s="2" cm="1">
        <f t="array" ref="SC12">INDEX(增益!$A$2:$Q$40,RE12,MATCH(SC$8,增益!$B$1:$Q$1,0)+1)*$AI12</f>
        <v>0</v>
      </c>
      <c r="SG12" s="2" cm="1">
        <f t="array" ref="SG12">INDEX(云配队!$J17:$AC17,1,SG$1)</f>
        <v>0</v>
      </c>
      <c r="SH12" s="2">
        <f>IFERROR(MATCH(SG12,增益!$A$2:$A$40,FALSE),1)</f>
        <v>1</v>
      </c>
      <c r="SI12" s="2" cm="1">
        <f t="array" ref="SI12">INDEX(增益!$A$2:$Q$40,SH12,MATCH(SI$8,增益!$B$1:$Q$1,0)+1)*$AI12</f>
        <v>0</v>
      </c>
      <c r="SJ12" s="2" cm="1">
        <f t="array" ref="SJ12">INDEX(增益!$A$2:$Q$40,SH12,MATCH(SJ$8,增益!$B$1:$Q$1,0)+1)*$AI12</f>
        <v>0</v>
      </c>
      <c r="SK12" s="2" cm="1">
        <f t="array" ref="SK12">INDEX(增益!$A$2:$Q$40,SH12,MATCH(SK$8,增益!$B$1:$Q$1,0)+1)*$AI12</f>
        <v>0</v>
      </c>
      <c r="SL12" s="2" cm="1">
        <f t="array" ref="SL12">INDEX(增益!$A$2:$Q$40,SH12,MATCH(SL$8,增益!$B$1:$Q$1,0)+1)*$AI12</f>
        <v>0</v>
      </c>
      <c r="SM12" s="2" cm="1">
        <f t="array" ref="SM12">INDEX(增益!$A$2:$Q$40,SH12,MATCH(SM$8,增益!$B$1:$Q$1,0)+1)*$AI12</f>
        <v>0</v>
      </c>
      <c r="SN12" s="2" cm="1">
        <f t="array" ref="SN12">INDEX(增益!$A$2:$Q$40,SH12,MATCH(SN$8,增益!$B$1:$Q$1,0)+1)*$AI12</f>
        <v>0</v>
      </c>
      <c r="SO12" s="2" cm="1">
        <f t="array" ref="SO12">INDEX(增益!$A$2:$Q$40,SH12,MATCH(SO$8,增益!$B$1:$Q$1,0)+1)*$AI12</f>
        <v>0</v>
      </c>
      <c r="SP12" s="2" cm="1">
        <f t="array" ref="SP12">INDEX(增益!$A$2:$Q$40,SH12,MATCH(SP$8,增益!$B$1:$Q$1,0)+1)*$AI12</f>
        <v>0</v>
      </c>
      <c r="SQ12" s="2" cm="1">
        <f t="array" ref="SQ12">INDEX(增益!$A$2:$Q$40,SH12,MATCH(SQ$8,增益!$B$1:$Q$1,0)+1)*$AI12</f>
        <v>0</v>
      </c>
      <c r="SR12" s="2" cm="1">
        <f t="array" ref="SR12">INDEX(增益!$A$2:$Q$40,SH12,MATCH(SR$8,增益!$B$1:$Q$1,0)+1)*$AI12</f>
        <v>0</v>
      </c>
      <c r="SS12" s="2" cm="1">
        <f t="array" ref="SS12">INDEX(动作!$O$3:$O$113,SH7)</f>
        <v>0</v>
      </c>
      <c r="ST12" s="2" cm="1">
        <f t="array" ref="ST12">INDEX(动作!$P$3:$P$113,SH7)</f>
        <v>0</v>
      </c>
      <c r="SU12" s="2" cm="1">
        <f t="array" ref="SU12">INDEX(动作!$Q$3:$Q$113,SH7)</f>
        <v>0</v>
      </c>
      <c r="SV12" s="2" cm="1">
        <f t="array" ref="SV12">INDEX(动作!$R$3:$R$113,SH7)</f>
        <v>0</v>
      </c>
      <c r="SW12" s="2" cm="1">
        <f t="array" ref="SW12">INDEX(动作!$S$3:$S$113,SH7)</f>
        <v>0</v>
      </c>
      <c r="SY12" s="2" cm="1">
        <f t="array" ref="SY12">INDEX(增益!$A$2:$Q$40,SH12,MATCH(SY$8,增益!$B$1:$Q$1,0)+1)*$AI12</f>
        <v>0</v>
      </c>
      <c r="SZ12" s="2" cm="1">
        <f t="array" ref="SZ12">INDEX(增益!$A$2:$Q$40,SH12,MATCH(SZ$8,增益!$B$1:$Q$1,0)+1)*$AI12</f>
        <v>0</v>
      </c>
      <c r="TA12" s="2" cm="1">
        <f t="array" ref="TA12">INDEX(增益!$A$2:$Q$40,SH12,MATCH(TA$8,增益!$B$1:$Q$1,0)+1)*$AI12</f>
        <v>0</v>
      </c>
      <c r="TC12" s="2" cm="1">
        <f t="array" ref="TC12">INDEX(增益!$A$2:$Q$40,SH12,MATCH(TC$8,增益!$B$1:$Q$1,0)+1)*$AI12</f>
        <v>0</v>
      </c>
      <c r="TE12" s="2" cm="1">
        <f t="array" ref="TE12">INDEX(增益!$A$2:$Q$40,SH12,MATCH(TE$8,增益!$B$1:$Q$1,0)+1)*$AI12</f>
        <v>0</v>
      </c>
      <c r="TF12" s="2" cm="1">
        <f t="array" ref="TF12">INDEX(增益!$A$2:$Q$40,SH12,MATCH(TF$8,增益!$B$1:$Q$1,0)+1)*$AI12</f>
        <v>0</v>
      </c>
      <c r="TJ12" s="2" cm="1">
        <f t="array" ref="TJ12">INDEX(云配队!$J17:$AC17,1,TJ$1)</f>
        <v>0</v>
      </c>
      <c r="TK12" s="2">
        <f>IFERROR(MATCH(TJ12,增益!$A$2:$A$40,FALSE),1)</f>
        <v>1</v>
      </c>
      <c r="TL12" s="2" cm="1">
        <f t="array" ref="TL12">INDEX(增益!$A$2:$Q$40,TK12,MATCH(TL$8,增益!$B$1:$Q$1,0)+1)*$AI12</f>
        <v>0</v>
      </c>
      <c r="TM12" s="2" cm="1">
        <f t="array" ref="TM12">INDEX(增益!$A$2:$Q$40,TK12,MATCH(TM$8,增益!$B$1:$Q$1,0)+1)*$AI12</f>
        <v>0</v>
      </c>
      <c r="TN12" s="2" cm="1">
        <f t="array" ref="TN12">INDEX(增益!$A$2:$Q$40,TK12,MATCH(TN$8,增益!$B$1:$Q$1,0)+1)*$AI12</f>
        <v>0</v>
      </c>
      <c r="TO12" s="2" cm="1">
        <f t="array" ref="TO12">INDEX(增益!$A$2:$Q$40,TK12,MATCH(TO$8,增益!$B$1:$Q$1,0)+1)*$AI12</f>
        <v>0</v>
      </c>
      <c r="TP12" s="2" cm="1">
        <f t="array" ref="TP12">INDEX(增益!$A$2:$Q$40,TK12,MATCH(TP$8,增益!$B$1:$Q$1,0)+1)*$AI12</f>
        <v>0</v>
      </c>
      <c r="TQ12" s="2" cm="1">
        <f t="array" ref="TQ12">INDEX(增益!$A$2:$Q$40,TK12,MATCH(TQ$8,增益!$B$1:$Q$1,0)+1)*$AI12</f>
        <v>0</v>
      </c>
      <c r="TR12" s="2" cm="1">
        <f t="array" ref="TR12">INDEX(增益!$A$2:$Q$40,TK12,MATCH(TR$8,增益!$B$1:$Q$1,0)+1)*$AI12</f>
        <v>0</v>
      </c>
      <c r="TS12" s="2" cm="1">
        <f t="array" ref="TS12">INDEX(增益!$A$2:$Q$40,TK12,MATCH(TS$8,增益!$B$1:$Q$1,0)+1)*$AI12</f>
        <v>0</v>
      </c>
      <c r="TT12" s="2" cm="1">
        <f t="array" ref="TT12">INDEX(增益!$A$2:$Q$40,TK12,MATCH(TT$8,增益!$B$1:$Q$1,0)+1)*$AI12</f>
        <v>0</v>
      </c>
      <c r="TU12" s="2" cm="1">
        <f t="array" ref="TU12">INDEX(增益!$A$2:$Q$40,TK12,MATCH(TU$8,增益!$B$1:$Q$1,0)+1)*$AI12</f>
        <v>0</v>
      </c>
      <c r="TV12" s="2" cm="1">
        <f t="array" ref="TV12">INDEX(动作!$O$3:$O$113,TK7)</f>
        <v>0</v>
      </c>
      <c r="TW12" s="2" cm="1">
        <f t="array" ref="TW12">INDEX(动作!$P$3:$P$113,TK7)</f>
        <v>0</v>
      </c>
      <c r="TX12" s="2" cm="1">
        <f t="array" ref="TX12">INDEX(动作!$Q$3:$Q$113,TK7)</f>
        <v>0</v>
      </c>
      <c r="TY12" s="2" cm="1">
        <f t="array" ref="TY12">INDEX(动作!$R$3:$R$113,TK7)</f>
        <v>0</v>
      </c>
      <c r="TZ12" s="2" cm="1">
        <f t="array" ref="TZ12">INDEX(动作!$S$3:$S$113,TK7)</f>
        <v>0</v>
      </c>
      <c r="UB12" s="2" cm="1">
        <f t="array" ref="UB12">INDEX(增益!$A$2:$Q$40,TK12,MATCH(UB$8,增益!$B$1:$Q$1,0)+1)*$AI12</f>
        <v>0</v>
      </c>
      <c r="UC12" s="2" cm="1">
        <f t="array" ref="UC12">INDEX(增益!$A$2:$Q$40,TK12,MATCH(UC$8,增益!$B$1:$Q$1,0)+1)*$AI12</f>
        <v>0</v>
      </c>
      <c r="UD12" s="2" cm="1">
        <f t="array" ref="UD12">INDEX(增益!$A$2:$Q$40,TK12,MATCH(UD$8,增益!$B$1:$Q$1,0)+1)*$AI12</f>
        <v>0</v>
      </c>
      <c r="UF12" s="2" cm="1">
        <f t="array" ref="UF12">INDEX(增益!$A$2:$Q$40,TK12,MATCH(UF$8,增益!$B$1:$Q$1,0)+1)*$AI12</f>
        <v>0</v>
      </c>
      <c r="UH12" s="2" cm="1">
        <f t="array" ref="UH12">INDEX(增益!$A$2:$Q$40,TK12,MATCH(UH$8,增益!$B$1:$Q$1,0)+1)*$AI12</f>
        <v>0</v>
      </c>
      <c r="UI12" s="2" cm="1">
        <f t="array" ref="UI12">INDEX(增益!$A$2:$Q$40,TK12,MATCH(UI$8,增益!$B$1:$Q$1,0)+1)*$AI12</f>
        <v>0</v>
      </c>
      <c r="UM12" s="2" cm="1">
        <f t="array" ref="UM12">INDEX(云配队!$J17:$AC17,1,UM$1)</f>
        <v>0</v>
      </c>
      <c r="UN12" s="2">
        <f>IFERROR(MATCH(UM12,增益!$A$2:$A$40,FALSE),1)</f>
        <v>1</v>
      </c>
      <c r="UO12" s="2" cm="1">
        <f t="array" ref="UO12">INDEX(增益!$A$2:$Q$40,UN12,MATCH(UO$8,增益!$B$1:$Q$1,0)+1)*$AI12</f>
        <v>0</v>
      </c>
      <c r="UP12" s="2" cm="1">
        <f t="array" ref="UP12">INDEX(增益!$A$2:$Q$40,UN12,MATCH(UP$8,增益!$B$1:$Q$1,0)+1)*$AI12</f>
        <v>0</v>
      </c>
      <c r="UQ12" s="2" cm="1">
        <f t="array" ref="UQ12">INDEX(增益!$A$2:$Q$40,UN12,MATCH(UQ$8,增益!$B$1:$Q$1,0)+1)*$AI12</f>
        <v>0</v>
      </c>
      <c r="UR12" s="2" cm="1">
        <f t="array" ref="UR12">INDEX(增益!$A$2:$Q$40,UN12,MATCH(UR$8,增益!$B$1:$Q$1,0)+1)*$AI12</f>
        <v>0</v>
      </c>
      <c r="US12" s="2" cm="1">
        <f t="array" ref="US12">INDEX(增益!$A$2:$Q$40,UN12,MATCH(US$8,增益!$B$1:$Q$1,0)+1)*$AI12</f>
        <v>0</v>
      </c>
      <c r="UT12" s="2" cm="1">
        <f t="array" ref="UT12">INDEX(增益!$A$2:$Q$40,UN12,MATCH(UT$8,增益!$B$1:$Q$1,0)+1)*$AI12</f>
        <v>0</v>
      </c>
      <c r="UU12" s="2" cm="1">
        <f t="array" ref="UU12">INDEX(增益!$A$2:$Q$40,UN12,MATCH(UU$8,增益!$B$1:$Q$1,0)+1)*$AI12</f>
        <v>0</v>
      </c>
      <c r="UV12" s="2" cm="1">
        <f t="array" ref="UV12">INDEX(增益!$A$2:$Q$40,UN12,MATCH(UV$8,增益!$B$1:$Q$1,0)+1)*$AI12</f>
        <v>0</v>
      </c>
      <c r="UW12" s="2" cm="1">
        <f t="array" ref="UW12">INDEX(增益!$A$2:$Q$40,UN12,MATCH(UW$8,增益!$B$1:$Q$1,0)+1)*$AI12</f>
        <v>0</v>
      </c>
      <c r="UX12" s="2" cm="1">
        <f t="array" ref="UX12">INDEX(增益!$A$2:$Q$40,UN12,MATCH(UX$8,增益!$B$1:$Q$1,0)+1)*$AI12</f>
        <v>0</v>
      </c>
      <c r="UY12" s="2" cm="1">
        <f t="array" ref="UY12">INDEX(动作!$O$3:$O$113,UN7)</f>
        <v>0</v>
      </c>
      <c r="UZ12" s="2" cm="1">
        <f t="array" ref="UZ12">INDEX(动作!$P$3:$P$113,UN7)</f>
        <v>0</v>
      </c>
      <c r="VA12" s="2" cm="1">
        <f t="array" ref="VA12">INDEX(动作!$Q$3:$Q$113,UN7)</f>
        <v>0</v>
      </c>
      <c r="VB12" s="2" cm="1">
        <f t="array" ref="VB12">INDEX(动作!$R$3:$R$113,UN7)</f>
        <v>0</v>
      </c>
      <c r="VC12" s="2" cm="1">
        <f t="array" ref="VC12">INDEX(动作!$S$3:$S$113,UN7)</f>
        <v>0</v>
      </c>
      <c r="VE12" s="2" cm="1">
        <f t="array" ref="VE12">INDEX(增益!$A$2:$Q$40,UN12,MATCH(VE$8,增益!$B$1:$Q$1,0)+1)*$AI12</f>
        <v>0</v>
      </c>
      <c r="VF12" s="2" cm="1">
        <f t="array" ref="VF12">INDEX(增益!$A$2:$Q$40,UN12,MATCH(VF$8,增益!$B$1:$Q$1,0)+1)*$AI12</f>
        <v>0</v>
      </c>
      <c r="VG12" s="2" cm="1">
        <f t="array" ref="VG12">INDEX(增益!$A$2:$Q$40,UN12,MATCH(VG$8,增益!$B$1:$Q$1,0)+1)*$AI12</f>
        <v>0</v>
      </c>
      <c r="VI12" s="2" cm="1">
        <f t="array" ref="VI12">INDEX(增益!$A$2:$Q$40,UN12,MATCH(VI$8,增益!$B$1:$Q$1,0)+1)*$AI12</f>
        <v>0</v>
      </c>
      <c r="VK12" s="2" cm="1">
        <f t="array" ref="VK12">INDEX(增益!$A$2:$Q$40,UN12,MATCH(VK$8,增益!$B$1:$Q$1,0)+1)*$AI12</f>
        <v>0</v>
      </c>
      <c r="VL12" s="2" cm="1">
        <f t="array" ref="VL12">INDEX(增益!$A$2:$Q$40,UN12,MATCH(VL$8,增益!$B$1:$Q$1,0)+1)*$AI12</f>
        <v>0</v>
      </c>
      <c r="VP12" s="2" cm="1">
        <f t="array" ref="VP12">INDEX(云配队!$J17:$AC17,1,VP$1)</f>
        <v>0</v>
      </c>
      <c r="VQ12" s="2">
        <f>IFERROR(MATCH(VP12,增益!$A$2:$A$40,FALSE),1)</f>
        <v>1</v>
      </c>
      <c r="VR12" s="2" cm="1">
        <f t="array" ref="VR12">INDEX(增益!$A$2:$Q$40,VQ12,MATCH(VR$8,增益!$B$1:$Q$1,0)+1)*$AI12</f>
        <v>0</v>
      </c>
      <c r="VS12" s="2" cm="1">
        <f t="array" ref="VS12">INDEX(增益!$A$2:$Q$40,VQ12,MATCH(VS$8,增益!$B$1:$Q$1,0)+1)*$AI12</f>
        <v>0</v>
      </c>
      <c r="VT12" s="2" cm="1">
        <f t="array" ref="VT12">INDEX(增益!$A$2:$Q$40,VQ12,MATCH(VT$8,增益!$B$1:$Q$1,0)+1)*$AI12</f>
        <v>0</v>
      </c>
      <c r="VU12" s="2" cm="1">
        <f t="array" ref="VU12">INDEX(增益!$A$2:$Q$40,VQ12,MATCH(VU$8,增益!$B$1:$Q$1,0)+1)*$AI12</f>
        <v>0</v>
      </c>
      <c r="VV12" s="2" cm="1">
        <f t="array" ref="VV12">INDEX(增益!$A$2:$Q$40,VQ12,MATCH(VV$8,增益!$B$1:$Q$1,0)+1)*$AI12</f>
        <v>0</v>
      </c>
      <c r="VW12" s="2" cm="1">
        <f t="array" ref="VW12">INDEX(增益!$A$2:$Q$40,VQ12,MATCH(VW$8,增益!$B$1:$Q$1,0)+1)*$AI12</f>
        <v>0</v>
      </c>
      <c r="VX12" s="2" cm="1">
        <f t="array" ref="VX12">INDEX(增益!$A$2:$Q$40,VQ12,MATCH(VX$8,增益!$B$1:$Q$1,0)+1)*$AI12</f>
        <v>0</v>
      </c>
      <c r="VY12" s="2" cm="1">
        <f t="array" ref="VY12">INDEX(增益!$A$2:$Q$40,VQ12,MATCH(VY$8,增益!$B$1:$Q$1,0)+1)*$AI12</f>
        <v>0</v>
      </c>
      <c r="VZ12" s="2" cm="1">
        <f t="array" ref="VZ12">INDEX(增益!$A$2:$Q$40,VQ12,MATCH(VZ$8,增益!$B$1:$Q$1,0)+1)*$AI12</f>
        <v>0</v>
      </c>
      <c r="WA12" s="2" cm="1">
        <f t="array" ref="WA12">INDEX(增益!$A$2:$Q$40,VQ12,MATCH(WA$8,增益!$B$1:$Q$1,0)+1)*$AI12</f>
        <v>0</v>
      </c>
      <c r="WB12" s="2" cm="1">
        <f t="array" ref="WB12">INDEX(动作!$O$3:$O$113,VQ7)</f>
        <v>0</v>
      </c>
      <c r="WC12" s="2" cm="1">
        <f t="array" ref="WC12">INDEX(动作!$P$3:$P$113,VQ7)</f>
        <v>0</v>
      </c>
      <c r="WD12" s="2" cm="1">
        <f t="array" ref="WD12">INDEX(动作!$Q$3:$Q$113,VQ7)</f>
        <v>0</v>
      </c>
      <c r="WE12" s="2" cm="1">
        <f t="array" ref="WE12">INDEX(动作!$R$3:$R$113,VQ7)</f>
        <v>0</v>
      </c>
      <c r="WF12" s="2" cm="1">
        <f t="array" ref="WF12">INDEX(动作!$S$3:$S$113,VQ7)</f>
        <v>0</v>
      </c>
      <c r="WH12" s="2" cm="1">
        <f t="array" ref="WH12">INDEX(增益!$A$2:$Q$40,VQ12,MATCH(WH$8,增益!$B$1:$Q$1,0)+1)*$AI12</f>
        <v>0</v>
      </c>
      <c r="WI12" s="2" cm="1">
        <f t="array" ref="WI12">INDEX(增益!$A$2:$Q$40,VQ12,MATCH(WI$8,增益!$B$1:$Q$1,0)+1)*$AI12</f>
        <v>0</v>
      </c>
      <c r="WJ12" s="2" cm="1">
        <f t="array" ref="WJ12">INDEX(增益!$A$2:$Q$40,VQ12,MATCH(WJ$8,增益!$B$1:$Q$1,0)+1)*$AI12</f>
        <v>0</v>
      </c>
      <c r="WL12" s="2" cm="1">
        <f t="array" ref="WL12">INDEX(增益!$A$2:$Q$40,VQ12,MATCH(WL$8,增益!$B$1:$Q$1,0)+1)*$AI12</f>
        <v>0</v>
      </c>
      <c r="WN12" s="2" cm="1">
        <f t="array" ref="WN12">INDEX(增益!$A$2:$Q$40,VQ12,MATCH(WN$8,增益!$B$1:$Q$1,0)+1)*$AI12</f>
        <v>0</v>
      </c>
      <c r="WO12" s="2" cm="1">
        <f t="array" ref="WO12">INDEX(增益!$A$2:$Q$40,VQ12,MATCH(WO$8,增益!$B$1:$Q$1,0)+1)*$AI12</f>
        <v>0</v>
      </c>
    </row>
    <row r="13" spans="1:616">
      <c r="T13" s="2">
        <v>2</v>
      </c>
      <c r="Y13" s="2">
        <f>$X$10*(1+V7/360)</f>
        <v>38593.591160221</v>
      </c>
      <c r="AI13" s="2">
        <f>IF(云配队!H18&gt;0,云配队!H18,1)</f>
        <v>1</v>
      </c>
      <c r="AK13" s="2" cm="1">
        <f t="array" ref="AK13">INDEX(云配队!$J18:$AC18,1,AK$1)</f>
        <v>0</v>
      </c>
      <c r="AL13" s="2">
        <f>IFERROR(MATCH(AK13,增益!$A$2:$A$40,FALSE),1)</f>
        <v>1</v>
      </c>
      <c r="AM13" s="2" cm="1">
        <f t="array" ref="AM13">INDEX(增益!$A$2:$Q$40,AL13,MATCH(AM$8,增益!$B$1:$Q$1,0)+1)*$AI13</f>
        <v>0</v>
      </c>
      <c r="AN13" s="2" cm="1">
        <f t="array" ref="AN13">INDEX(增益!$A$2:$Q$40,AL13,MATCH(AN$8,增益!$B$1:$Q$1,0)+1)*$AI13</f>
        <v>0</v>
      </c>
      <c r="AO13" s="2" cm="1">
        <f t="array" ref="AO13">INDEX(增益!$A$2:$Q$40,AL13,MATCH(AO$8,增益!$B$1:$Q$1,0)+1)*$AI13</f>
        <v>0</v>
      </c>
      <c r="AP13" s="2" cm="1">
        <f t="array" ref="AP13">INDEX(增益!$A$2:$Q$40,AL13,MATCH(AP$8,增益!$B$1:$Q$1,0)+1)*$AI13</f>
        <v>0</v>
      </c>
      <c r="AQ13" s="2" cm="1">
        <f t="array" ref="AQ13">INDEX(增益!$A$2:$Q$40,AL13,MATCH(AQ$8,增益!$B$1:$Q$1,0)+1)*$AI13</f>
        <v>0</v>
      </c>
      <c r="AR13" s="2" cm="1">
        <f t="array" ref="AR13">INDEX(增益!$A$2:$Q$40,AL13,MATCH(AR$8,增益!$B$1:$Q$1,0)+1)*$AI13</f>
        <v>0</v>
      </c>
      <c r="AS13" s="2" cm="1">
        <f t="array" ref="AS13">INDEX(增益!$A$2:$Q$40,AL13,MATCH(AS$8,增益!$B$1:$Q$1,0)+1)*$AI13</f>
        <v>0</v>
      </c>
      <c r="AT13" s="2" cm="1">
        <f t="array" ref="AT13">INDEX(增益!$A$2:$Q$40,AL13,MATCH(AT$8,增益!$B$1:$Q$1,0)+1)*$AI13</f>
        <v>0</v>
      </c>
      <c r="AU13" s="2" cm="1">
        <f t="array" ref="AU13">INDEX(增益!$A$2:$Q$40,AL13,MATCH(AU$8,增益!$B$1:$Q$1,0)+1)*$AI13</f>
        <v>0</v>
      </c>
      <c r="AV13" s="2" cm="1">
        <f t="array" ref="AV13">INDEX(增益!$A$2:$Q$40,AL13,MATCH(AV$8,增益!$B$1:$Q$1,0)+1)*$AI13</f>
        <v>0</v>
      </c>
      <c r="BC13" s="2" cm="1">
        <f t="array" ref="BC13">INDEX(增益!$A$2:$Q$40,AL13,MATCH(BC$8,增益!$B$1:$Q$1,0)+1)*$AI13</f>
        <v>0</v>
      </c>
      <c r="BD13" s="2" cm="1">
        <f t="array" ref="BD13">INDEX(增益!$A$2:$Q$40,AL13,MATCH(BD$8,增益!$B$1:$Q$1,0)+1)*$AI13</f>
        <v>0</v>
      </c>
      <c r="BE13" s="2" cm="1">
        <f t="array" ref="BE13">INDEX(增益!$A$2:$Q$40,AL13,MATCH(BE$8,增益!$B$1:$Q$1,0)+1)*$AI13</f>
        <v>0</v>
      </c>
      <c r="BG13" s="2" cm="1">
        <f t="array" ref="BG13">INDEX(增益!$A$2:$Q$40,AL13,MATCH(BG$8,增益!$B$1:$Q$1,0)+1)*$AI13</f>
        <v>0</v>
      </c>
      <c r="BI13" s="2" cm="1">
        <f t="array" ref="BI13">INDEX(增益!$A$2:$Q$40,AL13,MATCH(BI$8,增益!$B$1:$Q$1,0)+1)*$AI13</f>
        <v>0</v>
      </c>
      <c r="BJ13" s="2" cm="1">
        <f t="array" ref="BJ13">INDEX(增益!$A$2:$Q$40,AL13,MATCH(BJ$8,增益!$B$1:$Q$1,0)+1)*$AI13</f>
        <v>0</v>
      </c>
      <c r="BN13" s="2" cm="1">
        <f t="array" ref="BN13">INDEX(云配队!$J18:$AC18,1,BN$1)</f>
        <v>0</v>
      </c>
      <c r="BO13" s="2">
        <f>IFERROR(MATCH(BN13,增益!$A$2:$A$40,FALSE),1)</f>
        <v>1</v>
      </c>
      <c r="BP13" s="2" cm="1">
        <f t="array" ref="BP13">INDEX(增益!$A$2:$Q$40,BO13,MATCH(BP$8,增益!$B$1:$Q$1,0)+1)*$AI13</f>
        <v>0</v>
      </c>
      <c r="BQ13" s="2" cm="1">
        <f t="array" ref="BQ13">INDEX(增益!$A$2:$Q$40,BO13,MATCH(BQ$8,增益!$B$1:$Q$1,0)+1)*$AI13</f>
        <v>0</v>
      </c>
      <c r="BR13" s="2" cm="1">
        <f t="array" ref="BR13">INDEX(增益!$A$2:$Q$40,BO13,MATCH(BR$8,增益!$B$1:$Q$1,0)+1)*$AI13</f>
        <v>0</v>
      </c>
      <c r="BS13" s="2" cm="1">
        <f t="array" ref="BS13">INDEX(增益!$A$2:$Q$40,BO13,MATCH(BS$8,增益!$B$1:$Q$1,0)+1)*$AI13</f>
        <v>0</v>
      </c>
      <c r="BT13" s="2" cm="1">
        <f t="array" ref="BT13">INDEX(增益!$A$2:$Q$40,BO13,MATCH(BT$8,增益!$B$1:$Q$1,0)+1)*$AI13</f>
        <v>0</v>
      </c>
      <c r="BU13" s="2" cm="1">
        <f t="array" ref="BU13">INDEX(增益!$A$2:$Q$40,BO13,MATCH(BU$8,增益!$B$1:$Q$1,0)+1)*$AI13</f>
        <v>0</v>
      </c>
      <c r="BV13" s="2" cm="1">
        <f t="array" ref="BV13">INDEX(增益!$A$2:$Q$40,BO13,MATCH(BV$8,增益!$B$1:$Q$1,0)+1)*$AI13</f>
        <v>0</v>
      </c>
      <c r="BW13" s="2" cm="1">
        <f t="array" ref="BW13">INDEX(增益!$A$2:$Q$40,BO13,MATCH(BW$8,增益!$B$1:$Q$1,0)+1)*$AI13</f>
        <v>0</v>
      </c>
      <c r="BX13" s="2" cm="1">
        <f t="array" ref="BX13">INDEX(增益!$A$2:$Q$40,BO13,MATCH(BX$8,增益!$B$1:$Q$1,0)+1)*$AI13</f>
        <v>0</v>
      </c>
      <c r="BY13" s="2" cm="1">
        <f t="array" ref="BY13">INDEX(增益!$A$2:$Q$40,BO13,MATCH(BY$8,增益!$B$1:$Q$1,0)+1)*$AI13</f>
        <v>0</v>
      </c>
      <c r="CF13" s="2" cm="1">
        <f t="array" ref="CF13">INDEX(增益!$A$2:$Q$40,BO13,MATCH(CF$8,增益!$B$1:$Q$1,0)+1)*$AI13</f>
        <v>0</v>
      </c>
      <c r="CG13" s="2" cm="1">
        <f t="array" ref="CG13">INDEX(增益!$A$2:$Q$40,BO13,MATCH(CG$8,增益!$B$1:$Q$1,0)+1)*$AI13</f>
        <v>0</v>
      </c>
      <c r="CH13" s="2" cm="1">
        <f t="array" ref="CH13">INDEX(增益!$A$2:$Q$40,BO13,MATCH(CH$8,增益!$B$1:$Q$1,0)+1)*$AI13</f>
        <v>0</v>
      </c>
      <c r="CJ13" s="2" cm="1">
        <f t="array" ref="CJ13">INDEX(增益!$A$2:$Q$40,BO13,MATCH(CJ$8,增益!$B$1:$Q$1,0)+1)*$AI13</f>
        <v>0</v>
      </c>
      <c r="CL13" s="2" cm="1">
        <f t="array" ref="CL13">INDEX(增益!$A$2:$Q$40,BO13,MATCH(CL$8,增益!$B$1:$Q$1,0)+1)*$AI13</f>
        <v>0</v>
      </c>
      <c r="CM13" s="2" cm="1">
        <f t="array" ref="CM13">INDEX(增益!$A$2:$Q$40,BO13,MATCH(CM$8,增益!$B$1:$Q$1,0)+1)*$AI13</f>
        <v>0</v>
      </c>
      <c r="CQ13" s="2" cm="1">
        <f t="array" ref="CQ13">INDEX(云配队!$J18:$AC18,1,CQ$1)</f>
        <v>0</v>
      </c>
      <c r="CR13" s="2">
        <f>IFERROR(MATCH(CQ13,增益!$A$2:$A$40,FALSE),1)</f>
        <v>1</v>
      </c>
      <c r="CS13" s="2" cm="1">
        <f t="array" ref="CS13">INDEX(增益!$A$2:$Q$40,CR13,MATCH(CS$8,增益!$B$1:$Q$1,0)+1)*$AI13</f>
        <v>0</v>
      </c>
      <c r="CT13" s="2" cm="1">
        <f t="array" ref="CT13">INDEX(增益!$A$2:$Q$40,CR13,MATCH(CT$8,增益!$B$1:$Q$1,0)+1)*$AI13</f>
        <v>0</v>
      </c>
      <c r="CU13" s="2" cm="1">
        <f t="array" ref="CU13">INDEX(增益!$A$2:$Q$40,CR13,MATCH(CU$8,增益!$B$1:$Q$1,0)+1)*$AI13</f>
        <v>0</v>
      </c>
      <c r="CV13" s="2" cm="1">
        <f t="array" ref="CV13">INDEX(增益!$A$2:$Q$40,CR13,MATCH(CV$8,增益!$B$1:$Q$1,0)+1)*$AI13</f>
        <v>0</v>
      </c>
      <c r="CW13" s="2" cm="1">
        <f t="array" ref="CW13">INDEX(增益!$A$2:$Q$40,CR13,MATCH(CW$8,增益!$B$1:$Q$1,0)+1)*$AI13</f>
        <v>0</v>
      </c>
      <c r="CX13" s="2" cm="1">
        <f t="array" ref="CX13">INDEX(增益!$A$2:$Q$40,CR13,MATCH(CX$8,增益!$B$1:$Q$1,0)+1)*$AI13</f>
        <v>0</v>
      </c>
      <c r="CY13" s="2" cm="1">
        <f t="array" ref="CY13">INDEX(增益!$A$2:$Q$40,CR13,MATCH(CY$8,增益!$B$1:$Q$1,0)+1)*$AI13</f>
        <v>0</v>
      </c>
      <c r="CZ13" s="2" cm="1">
        <f t="array" ref="CZ13">INDEX(增益!$A$2:$Q$40,CR13,MATCH(CZ$8,增益!$B$1:$Q$1,0)+1)*$AI13</f>
        <v>0</v>
      </c>
      <c r="DA13" s="2" cm="1">
        <f t="array" ref="DA13">INDEX(增益!$A$2:$Q$40,CR13,MATCH(DA$8,增益!$B$1:$Q$1,0)+1)*$AI13</f>
        <v>0</v>
      </c>
      <c r="DB13" s="2" cm="1">
        <f t="array" ref="DB13">INDEX(增益!$A$2:$Q$40,CR13,MATCH(DB$8,增益!$B$1:$Q$1,0)+1)*$AI13</f>
        <v>0</v>
      </c>
      <c r="DI13" s="2" cm="1">
        <f t="array" ref="DI13">INDEX(增益!$A$2:$Q$40,CR13,MATCH(DI$8,增益!$B$1:$Q$1,0)+1)*$AI13</f>
        <v>0</v>
      </c>
      <c r="DJ13" s="2" cm="1">
        <f t="array" ref="DJ13">INDEX(增益!$A$2:$Q$40,CR13,MATCH(DJ$8,增益!$B$1:$Q$1,0)+1)*$AI13</f>
        <v>0</v>
      </c>
      <c r="DK13" s="2" cm="1">
        <f t="array" ref="DK13">INDEX(增益!$A$2:$Q$40,CR13,MATCH(DK$8,增益!$B$1:$Q$1,0)+1)*$AI13</f>
        <v>0</v>
      </c>
      <c r="DM13" s="2" cm="1">
        <f t="array" ref="DM13">INDEX(增益!$A$2:$Q$40,CR13,MATCH(DM$8,增益!$B$1:$Q$1,0)+1)*$AI13</f>
        <v>0</v>
      </c>
      <c r="DO13" s="2" cm="1">
        <f t="array" ref="DO13">INDEX(增益!$A$2:$Q$40,CR13,MATCH(DO$8,增益!$B$1:$Q$1,0)+1)*$AI13</f>
        <v>0</v>
      </c>
      <c r="DP13" s="2" cm="1">
        <f t="array" ref="DP13">INDEX(增益!$A$2:$Q$40,CR13,MATCH(DP$8,增益!$B$1:$Q$1,0)+1)*$AI13</f>
        <v>0</v>
      </c>
      <c r="DT13" s="2" cm="1">
        <f t="array" ref="DT13">INDEX(云配队!$J18:$AC18,1,DT$1)</f>
        <v>0</v>
      </c>
      <c r="DU13" s="2">
        <f>IFERROR(MATCH(DT13,增益!$A$2:$A$40,FALSE),1)</f>
        <v>1</v>
      </c>
      <c r="DV13" s="2" cm="1">
        <f t="array" ref="DV13">INDEX(增益!$A$2:$Q$40,DU13,MATCH(DV$8,增益!$B$1:$Q$1,0)+1)*$AI13</f>
        <v>0</v>
      </c>
      <c r="DW13" s="2" cm="1">
        <f t="array" ref="DW13">INDEX(增益!$A$2:$Q$40,DU13,MATCH(DW$8,增益!$B$1:$Q$1,0)+1)*$AI13</f>
        <v>0</v>
      </c>
      <c r="DX13" s="2" cm="1">
        <f t="array" ref="DX13">INDEX(增益!$A$2:$Q$40,DU13,MATCH(DX$8,增益!$B$1:$Q$1,0)+1)*$AI13</f>
        <v>0</v>
      </c>
      <c r="DY13" s="2" cm="1">
        <f t="array" ref="DY13">INDEX(增益!$A$2:$Q$40,DU13,MATCH(DY$8,增益!$B$1:$Q$1,0)+1)*$AI13</f>
        <v>0</v>
      </c>
      <c r="DZ13" s="2" cm="1">
        <f t="array" ref="DZ13">INDEX(增益!$A$2:$Q$40,DU13,MATCH(DZ$8,增益!$B$1:$Q$1,0)+1)*$AI13</f>
        <v>0</v>
      </c>
      <c r="EA13" s="2" cm="1">
        <f t="array" ref="EA13">INDEX(增益!$A$2:$Q$40,DU13,MATCH(EA$8,增益!$B$1:$Q$1,0)+1)*$AI13</f>
        <v>0</v>
      </c>
      <c r="EB13" s="2" cm="1">
        <f t="array" ref="EB13">INDEX(增益!$A$2:$Q$40,DU13,MATCH(EB$8,增益!$B$1:$Q$1,0)+1)*$AI13</f>
        <v>0</v>
      </c>
      <c r="EC13" s="2" cm="1">
        <f t="array" ref="EC13">INDEX(增益!$A$2:$Q$40,DU13,MATCH(EC$8,增益!$B$1:$Q$1,0)+1)*$AI13</f>
        <v>0</v>
      </c>
      <c r="ED13" s="2" cm="1">
        <f t="array" ref="ED13">INDEX(增益!$A$2:$Q$40,DU13,MATCH(ED$8,增益!$B$1:$Q$1,0)+1)*$AI13</f>
        <v>0</v>
      </c>
      <c r="EE13" s="2" cm="1">
        <f t="array" ref="EE13">INDEX(增益!$A$2:$Q$40,DU13,MATCH(EE$8,增益!$B$1:$Q$1,0)+1)*$AI13</f>
        <v>0</v>
      </c>
      <c r="EL13" s="2" cm="1">
        <f t="array" ref="EL13">INDEX(增益!$A$2:$Q$40,DU13,MATCH(EL$8,增益!$B$1:$Q$1,0)+1)*$AI13</f>
        <v>0</v>
      </c>
      <c r="EM13" s="2" cm="1">
        <f t="array" ref="EM13">INDEX(增益!$A$2:$Q$40,DU13,MATCH(EM$8,增益!$B$1:$Q$1,0)+1)*$AI13</f>
        <v>0</v>
      </c>
      <c r="EN13" s="2" cm="1">
        <f t="array" ref="EN13">INDEX(增益!$A$2:$Q$40,DU13,MATCH(EN$8,增益!$B$1:$Q$1,0)+1)*$AI13</f>
        <v>0</v>
      </c>
      <c r="EP13" s="2" cm="1">
        <f t="array" ref="EP13">INDEX(增益!$A$2:$Q$40,DU13,MATCH(EP$8,增益!$B$1:$Q$1,0)+1)*$AI13</f>
        <v>0</v>
      </c>
      <c r="ER13" s="2" cm="1">
        <f t="array" ref="ER13">INDEX(增益!$A$2:$Q$40,DU13,MATCH(ER$8,增益!$B$1:$Q$1,0)+1)*$AI13</f>
        <v>0</v>
      </c>
      <c r="ES13" s="2" cm="1">
        <f t="array" ref="ES13">INDEX(增益!$A$2:$Q$40,DU13,MATCH(ES$8,增益!$B$1:$Q$1,0)+1)*$AI13</f>
        <v>0</v>
      </c>
      <c r="EW13" s="2" cm="1">
        <f t="array" ref="EW13">INDEX(云配队!$J18:$AC18,1,EW$1)</f>
        <v>0</v>
      </c>
      <c r="EX13" s="2">
        <f>IFERROR(MATCH(EW13,增益!$A$2:$A$40,FALSE),1)</f>
        <v>1</v>
      </c>
      <c r="EY13" s="2" cm="1">
        <f t="array" ref="EY13">INDEX(增益!$A$2:$Q$40,EX13,MATCH(EY$8,增益!$B$1:$Q$1,0)+1)*$AI13</f>
        <v>0</v>
      </c>
      <c r="EZ13" s="2" cm="1">
        <f t="array" ref="EZ13">INDEX(增益!$A$2:$Q$40,EX13,MATCH(EZ$8,增益!$B$1:$Q$1,0)+1)*$AI13</f>
        <v>0</v>
      </c>
      <c r="FA13" s="2" cm="1">
        <f t="array" ref="FA13">INDEX(增益!$A$2:$Q$40,EX13,MATCH(FA$8,增益!$B$1:$Q$1,0)+1)*$AI13</f>
        <v>0</v>
      </c>
      <c r="FB13" s="2" cm="1">
        <f t="array" ref="FB13">INDEX(增益!$A$2:$Q$40,EX13,MATCH(FB$8,增益!$B$1:$Q$1,0)+1)*$AI13</f>
        <v>0</v>
      </c>
      <c r="FC13" s="2" cm="1">
        <f t="array" ref="FC13">INDEX(增益!$A$2:$Q$40,EX13,MATCH(FC$8,增益!$B$1:$Q$1,0)+1)*$AI13</f>
        <v>0</v>
      </c>
      <c r="FD13" s="2" cm="1">
        <f t="array" ref="FD13">INDEX(增益!$A$2:$Q$40,EX13,MATCH(FD$8,增益!$B$1:$Q$1,0)+1)*$AI13</f>
        <v>0</v>
      </c>
      <c r="FE13" s="2" cm="1">
        <f t="array" ref="FE13">INDEX(增益!$A$2:$Q$40,EX13,MATCH(FE$8,增益!$B$1:$Q$1,0)+1)*$AI13</f>
        <v>0</v>
      </c>
      <c r="FF13" s="2" cm="1">
        <f t="array" ref="FF13">INDEX(增益!$A$2:$Q$40,EX13,MATCH(FF$8,增益!$B$1:$Q$1,0)+1)*$AI13</f>
        <v>0</v>
      </c>
      <c r="FG13" s="2" cm="1">
        <f t="array" ref="FG13">INDEX(增益!$A$2:$Q$40,EX13,MATCH(FG$8,增益!$B$1:$Q$1,0)+1)*$AI13</f>
        <v>0</v>
      </c>
      <c r="FH13" s="2" cm="1">
        <f t="array" ref="FH13">INDEX(增益!$A$2:$Q$40,EX13,MATCH(FH$8,增益!$B$1:$Q$1,0)+1)*$AI13</f>
        <v>0</v>
      </c>
      <c r="FO13" s="2" cm="1">
        <f t="array" ref="FO13">INDEX(增益!$A$2:$Q$40,EX13,MATCH(FO$8,增益!$B$1:$Q$1,0)+1)*$AI13</f>
        <v>0</v>
      </c>
      <c r="FP13" s="2" cm="1">
        <f t="array" ref="FP13">INDEX(增益!$A$2:$Q$40,EX13,MATCH(FP$8,增益!$B$1:$Q$1,0)+1)*$AI13</f>
        <v>0</v>
      </c>
      <c r="FQ13" s="2" cm="1">
        <f t="array" ref="FQ13">INDEX(增益!$A$2:$Q$40,EX13,MATCH(FQ$8,增益!$B$1:$Q$1,0)+1)*$AI13</f>
        <v>0</v>
      </c>
      <c r="FS13" s="2" cm="1">
        <f t="array" ref="FS13">INDEX(增益!$A$2:$Q$40,EX13,MATCH(FS$8,增益!$B$1:$Q$1,0)+1)*$AI13</f>
        <v>0</v>
      </c>
      <c r="FU13" s="2" cm="1">
        <f t="array" ref="FU13">INDEX(增益!$A$2:$Q$40,EX13,MATCH(FU$8,增益!$B$1:$Q$1,0)+1)*$AI13</f>
        <v>0</v>
      </c>
      <c r="FV13" s="2" cm="1">
        <f t="array" ref="FV13">INDEX(增益!$A$2:$Q$40,EX13,MATCH(FV$8,增益!$B$1:$Q$1,0)+1)*$AI13</f>
        <v>0</v>
      </c>
      <c r="FZ13" s="2" cm="1">
        <f t="array" ref="FZ13">INDEX(云配队!$J18:$AC18,1,FZ$1)</f>
        <v>0</v>
      </c>
      <c r="GA13" s="2">
        <f>IFERROR(MATCH(FZ13,增益!$A$2:$A$40,FALSE),1)</f>
        <v>1</v>
      </c>
      <c r="GB13" s="2" cm="1">
        <f t="array" ref="GB13">INDEX(增益!$A$2:$Q$40,GA13,MATCH(GB$8,增益!$B$1:$Q$1,0)+1)*$AI13</f>
        <v>0</v>
      </c>
      <c r="GC13" s="2" cm="1">
        <f t="array" ref="GC13">INDEX(增益!$A$2:$Q$40,GA13,MATCH(GC$8,增益!$B$1:$Q$1,0)+1)*$AI13</f>
        <v>0</v>
      </c>
      <c r="GD13" s="2" cm="1">
        <f t="array" ref="GD13">INDEX(增益!$A$2:$Q$40,GA13,MATCH(GD$8,增益!$B$1:$Q$1,0)+1)*$AI13</f>
        <v>0</v>
      </c>
      <c r="GE13" s="2" cm="1">
        <f t="array" ref="GE13">INDEX(增益!$A$2:$Q$40,GA13,MATCH(GE$8,增益!$B$1:$Q$1,0)+1)*$AI13</f>
        <v>0</v>
      </c>
      <c r="GF13" s="2" cm="1">
        <f t="array" ref="GF13">INDEX(增益!$A$2:$Q$40,GA13,MATCH(GF$8,增益!$B$1:$Q$1,0)+1)*$AI13</f>
        <v>0</v>
      </c>
      <c r="GG13" s="2" cm="1">
        <f t="array" ref="GG13">INDEX(增益!$A$2:$Q$40,GA13,MATCH(GG$8,增益!$B$1:$Q$1,0)+1)*$AI13</f>
        <v>0</v>
      </c>
      <c r="GH13" s="2" cm="1">
        <f t="array" ref="GH13">INDEX(增益!$A$2:$Q$40,GA13,MATCH(GH$8,增益!$B$1:$Q$1,0)+1)*$AI13</f>
        <v>0</v>
      </c>
      <c r="GI13" s="2" cm="1">
        <f t="array" ref="GI13">INDEX(增益!$A$2:$Q$40,GA13,MATCH(GI$8,增益!$B$1:$Q$1,0)+1)*$AI13</f>
        <v>0</v>
      </c>
      <c r="GJ13" s="2" cm="1">
        <f t="array" ref="GJ13">INDEX(增益!$A$2:$Q$40,GA13,MATCH(GJ$8,增益!$B$1:$Q$1,0)+1)*$AI13</f>
        <v>0</v>
      </c>
      <c r="GK13" s="2" cm="1">
        <f t="array" ref="GK13">INDEX(增益!$A$2:$Q$40,GA13,MATCH(GK$8,增益!$B$1:$Q$1,0)+1)*$AI13</f>
        <v>0</v>
      </c>
      <c r="GR13" s="2" cm="1">
        <f t="array" ref="GR13">INDEX(增益!$A$2:$Q$40,GA13,MATCH(GR$8,增益!$B$1:$Q$1,0)+1)*$AI13</f>
        <v>0</v>
      </c>
      <c r="GS13" s="2" cm="1">
        <f t="array" ref="GS13">INDEX(增益!$A$2:$Q$40,GA13,MATCH(GS$8,增益!$B$1:$Q$1,0)+1)*$AI13</f>
        <v>0</v>
      </c>
      <c r="GT13" s="2" cm="1">
        <f t="array" ref="GT13">INDEX(增益!$A$2:$Q$40,GA13,MATCH(GT$8,增益!$B$1:$Q$1,0)+1)*$AI13</f>
        <v>0</v>
      </c>
      <c r="GV13" s="2" cm="1">
        <f t="array" ref="GV13">INDEX(增益!$A$2:$Q$40,GA13,MATCH(GV$8,增益!$B$1:$Q$1,0)+1)*$AI13</f>
        <v>0</v>
      </c>
      <c r="GX13" s="2" cm="1">
        <f t="array" ref="GX13">INDEX(增益!$A$2:$Q$40,GA13,MATCH(GX$8,增益!$B$1:$Q$1,0)+1)*$AI13</f>
        <v>0</v>
      </c>
      <c r="GY13" s="2" cm="1">
        <f t="array" ref="GY13">INDEX(增益!$A$2:$Q$40,GA13,MATCH(GY$8,增益!$B$1:$Q$1,0)+1)*$AI13</f>
        <v>0</v>
      </c>
      <c r="HC13" s="2" cm="1">
        <f t="array" ref="HC13">INDEX(云配队!$J18:$AC18,1,HC$1)</f>
        <v>0</v>
      </c>
      <c r="HD13" s="2">
        <f>IFERROR(MATCH(HC13,增益!$A$2:$A$40,FALSE),1)</f>
        <v>1</v>
      </c>
      <c r="HE13" s="2" cm="1">
        <f t="array" ref="HE13">INDEX(增益!$A$2:$Q$40,HD13,MATCH(HE$8,增益!$B$1:$Q$1,0)+1)*$AI13</f>
        <v>0</v>
      </c>
      <c r="HF13" s="2" cm="1">
        <f t="array" ref="HF13">INDEX(增益!$A$2:$Q$40,HD13,MATCH(HF$8,增益!$B$1:$Q$1,0)+1)*$AI13</f>
        <v>0</v>
      </c>
      <c r="HG13" s="2" cm="1">
        <f t="array" ref="HG13">INDEX(增益!$A$2:$Q$40,HD13,MATCH(HG$8,增益!$B$1:$Q$1,0)+1)*$AI13</f>
        <v>0</v>
      </c>
      <c r="HH13" s="2" cm="1">
        <f t="array" ref="HH13">INDEX(增益!$A$2:$Q$40,HD13,MATCH(HH$8,增益!$B$1:$Q$1,0)+1)*$AI13</f>
        <v>0</v>
      </c>
      <c r="HI13" s="2" cm="1">
        <f t="array" ref="HI13">INDEX(增益!$A$2:$Q$40,HD13,MATCH(HI$8,增益!$B$1:$Q$1,0)+1)*$AI13</f>
        <v>0</v>
      </c>
      <c r="HJ13" s="2" cm="1">
        <f t="array" ref="HJ13">INDEX(增益!$A$2:$Q$40,HD13,MATCH(HJ$8,增益!$B$1:$Q$1,0)+1)*$AI13</f>
        <v>0</v>
      </c>
      <c r="HK13" s="2" cm="1">
        <f t="array" ref="HK13">INDEX(增益!$A$2:$Q$40,HD13,MATCH(HK$8,增益!$B$1:$Q$1,0)+1)*$AI13</f>
        <v>0</v>
      </c>
      <c r="HL13" s="2" cm="1">
        <f t="array" ref="HL13">INDEX(增益!$A$2:$Q$40,HD13,MATCH(HL$8,增益!$B$1:$Q$1,0)+1)*$AI13</f>
        <v>0</v>
      </c>
      <c r="HM13" s="2" cm="1">
        <f t="array" ref="HM13">INDEX(增益!$A$2:$Q$40,HD13,MATCH(HM$8,增益!$B$1:$Q$1,0)+1)*$AI13</f>
        <v>0</v>
      </c>
      <c r="HN13" s="2" cm="1">
        <f t="array" ref="HN13">INDEX(增益!$A$2:$Q$40,HD13,MATCH(HN$8,增益!$B$1:$Q$1,0)+1)*$AI13</f>
        <v>0</v>
      </c>
      <c r="HU13" s="2" cm="1">
        <f t="array" ref="HU13">INDEX(增益!$A$2:$Q$40,HD13,MATCH(HU$8,增益!$B$1:$Q$1,0)+1)*$AI13</f>
        <v>0</v>
      </c>
      <c r="HV13" s="2" cm="1">
        <f t="array" ref="HV13">INDEX(增益!$A$2:$Q$40,HD13,MATCH(HV$8,增益!$B$1:$Q$1,0)+1)*$AI13</f>
        <v>0</v>
      </c>
      <c r="HW13" s="2" cm="1">
        <f t="array" ref="HW13">INDEX(增益!$A$2:$Q$40,HD13,MATCH(HW$8,增益!$B$1:$Q$1,0)+1)*$AI13</f>
        <v>0</v>
      </c>
      <c r="HY13" s="2" cm="1">
        <f t="array" ref="HY13">INDEX(增益!$A$2:$Q$40,HD13,MATCH(HY$8,增益!$B$1:$Q$1,0)+1)*$AI13</f>
        <v>0</v>
      </c>
      <c r="IA13" s="2" cm="1">
        <f t="array" ref="IA13">INDEX(增益!$A$2:$Q$40,HD13,MATCH(IA$8,增益!$B$1:$Q$1,0)+1)*$AI13</f>
        <v>0</v>
      </c>
      <c r="IB13" s="2" cm="1">
        <f t="array" ref="IB13">INDEX(增益!$A$2:$Q$40,HD13,MATCH(IB$8,增益!$B$1:$Q$1,0)+1)*$AI13</f>
        <v>0</v>
      </c>
      <c r="IF13" s="2" cm="1">
        <f t="array" ref="IF13">INDEX(云配队!$J18:$AC18,1,IF$1)</f>
        <v>0</v>
      </c>
      <c r="IG13" s="2">
        <f>IFERROR(MATCH(IF13,增益!$A$2:$A$40,FALSE),1)</f>
        <v>1</v>
      </c>
      <c r="IH13" s="2" cm="1">
        <f t="array" ref="IH13">INDEX(增益!$A$2:$Q$40,IG13,MATCH(IH$8,增益!$B$1:$Q$1,0)+1)*$AI13</f>
        <v>0</v>
      </c>
      <c r="II13" s="2" cm="1">
        <f t="array" ref="II13">INDEX(增益!$A$2:$Q$40,IG13,MATCH(II$8,增益!$B$1:$Q$1,0)+1)*$AI13</f>
        <v>0</v>
      </c>
      <c r="IJ13" s="2" cm="1">
        <f t="array" ref="IJ13">INDEX(增益!$A$2:$Q$40,IG13,MATCH(IJ$8,增益!$B$1:$Q$1,0)+1)*$AI13</f>
        <v>0</v>
      </c>
      <c r="IK13" s="2" cm="1">
        <f t="array" ref="IK13">INDEX(增益!$A$2:$Q$40,IG13,MATCH(IK$8,增益!$B$1:$Q$1,0)+1)*$AI13</f>
        <v>0</v>
      </c>
      <c r="IL13" s="2" cm="1">
        <f t="array" ref="IL13">INDEX(增益!$A$2:$Q$40,IG13,MATCH(IL$8,增益!$B$1:$Q$1,0)+1)*$AI13</f>
        <v>0</v>
      </c>
      <c r="IM13" s="2" cm="1">
        <f t="array" ref="IM13">INDEX(增益!$A$2:$Q$40,IG13,MATCH(IM$8,增益!$B$1:$Q$1,0)+1)*$AI13</f>
        <v>0</v>
      </c>
      <c r="IN13" s="2" cm="1">
        <f t="array" ref="IN13">INDEX(增益!$A$2:$Q$40,IG13,MATCH(IN$8,增益!$B$1:$Q$1,0)+1)*$AI13</f>
        <v>0</v>
      </c>
      <c r="IO13" s="2" cm="1">
        <f t="array" ref="IO13">INDEX(增益!$A$2:$Q$40,IG13,MATCH(IO$8,增益!$B$1:$Q$1,0)+1)*$AI13</f>
        <v>0</v>
      </c>
      <c r="IP13" s="2" cm="1">
        <f t="array" ref="IP13">INDEX(增益!$A$2:$Q$40,IG13,MATCH(IP$8,增益!$B$1:$Q$1,0)+1)*$AI13</f>
        <v>0</v>
      </c>
      <c r="IQ13" s="2" cm="1">
        <f t="array" ref="IQ13">INDEX(增益!$A$2:$Q$40,IG13,MATCH(IQ$8,增益!$B$1:$Q$1,0)+1)*$AI13</f>
        <v>0</v>
      </c>
      <c r="IX13" s="2" cm="1">
        <f t="array" ref="IX13">INDEX(增益!$A$2:$Q$40,IG13,MATCH(IX$8,增益!$B$1:$Q$1,0)+1)*$AI13</f>
        <v>0</v>
      </c>
      <c r="IY13" s="2" cm="1">
        <f t="array" ref="IY13">INDEX(增益!$A$2:$Q$40,IG13,MATCH(IY$8,增益!$B$1:$Q$1,0)+1)*$AI13</f>
        <v>0</v>
      </c>
      <c r="IZ13" s="2" cm="1">
        <f t="array" ref="IZ13">INDEX(增益!$A$2:$Q$40,IG13,MATCH(IZ$8,增益!$B$1:$Q$1,0)+1)*$AI13</f>
        <v>0</v>
      </c>
      <c r="JB13" s="2" cm="1">
        <f t="array" ref="JB13">INDEX(增益!$A$2:$Q$40,IG13,MATCH(JB$8,增益!$B$1:$Q$1,0)+1)*$AI13</f>
        <v>0</v>
      </c>
      <c r="JD13" s="2" cm="1">
        <f t="array" ref="JD13">INDEX(增益!$A$2:$Q$40,IG13,MATCH(JD$8,增益!$B$1:$Q$1,0)+1)*$AI13</f>
        <v>0</v>
      </c>
      <c r="JE13" s="2" cm="1">
        <f t="array" ref="JE13">INDEX(增益!$A$2:$Q$40,IG13,MATCH(JE$8,增益!$B$1:$Q$1,0)+1)*$AI13</f>
        <v>0</v>
      </c>
      <c r="JI13" s="2" cm="1">
        <f t="array" ref="JI13">INDEX(云配队!$J18:$AC18,1,JI$1)</f>
        <v>0</v>
      </c>
      <c r="JJ13" s="2">
        <f>IFERROR(MATCH(JI13,增益!$A$2:$A$40,FALSE),1)</f>
        <v>1</v>
      </c>
      <c r="JK13" s="2" cm="1">
        <f t="array" ref="JK13">INDEX(增益!$A$2:$Q$40,JJ13,MATCH(JK$8,增益!$B$1:$Q$1,0)+1)*$AI13</f>
        <v>0</v>
      </c>
      <c r="JL13" s="2" cm="1">
        <f t="array" ref="JL13">INDEX(增益!$A$2:$Q$40,JJ13,MATCH(JL$8,增益!$B$1:$Q$1,0)+1)*$AI13</f>
        <v>0</v>
      </c>
      <c r="JM13" s="2" cm="1">
        <f t="array" ref="JM13">INDEX(增益!$A$2:$Q$40,JJ13,MATCH(JM$8,增益!$B$1:$Q$1,0)+1)*$AI13</f>
        <v>0</v>
      </c>
      <c r="JN13" s="2" cm="1">
        <f t="array" ref="JN13">INDEX(增益!$A$2:$Q$40,JJ13,MATCH(JN$8,增益!$B$1:$Q$1,0)+1)*$AI13</f>
        <v>0</v>
      </c>
      <c r="JO13" s="2" cm="1">
        <f t="array" ref="JO13">INDEX(增益!$A$2:$Q$40,JJ13,MATCH(JO$8,增益!$B$1:$Q$1,0)+1)*$AI13</f>
        <v>0</v>
      </c>
      <c r="JP13" s="2" cm="1">
        <f t="array" ref="JP13">INDEX(增益!$A$2:$Q$40,JJ13,MATCH(JP$8,增益!$B$1:$Q$1,0)+1)*$AI13</f>
        <v>0</v>
      </c>
      <c r="JQ13" s="2" cm="1">
        <f t="array" ref="JQ13">INDEX(增益!$A$2:$Q$40,JJ13,MATCH(JQ$8,增益!$B$1:$Q$1,0)+1)*$AI13</f>
        <v>0</v>
      </c>
      <c r="JR13" s="2" cm="1">
        <f t="array" ref="JR13">INDEX(增益!$A$2:$Q$40,JJ13,MATCH(JR$8,增益!$B$1:$Q$1,0)+1)*$AI13</f>
        <v>0</v>
      </c>
      <c r="JS13" s="2" cm="1">
        <f t="array" ref="JS13">INDEX(增益!$A$2:$Q$40,JJ13,MATCH(JS$8,增益!$B$1:$Q$1,0)+1)*$AI13</f>
        <v>0</v>
      </c>
      <c r="JT13" s="2" cm="1">
        <f t="array" ref="JT13">INDEX(增益!$A$2:$Q$40,JJ13,MATCH(JT$8,增益!$B$1:$Q$1,0)+1)*$AI13</f>
        <v>0</v>
      </c>
      <c r="KA13" s="2" cm="1">
        <f t="array" ref="KA13">INDEX(增益!$A$2:$Q$40,JJ13,MATCH(KA$8,增益!$B$1:$Q$1,0)+1)*$AI13</f>
        <v>0</v>
      </c>
      <c r="KB13" s="2" cm="1">
        <f t="array" ref="KB13">INDEX(增益!$A$2:$Q$40,JJ13,MATCH(KB$8,增益!$B$1:$Q$1,0)+1)*$AI13</f>
        <v>0</v>
      </c>
      <c r="KC13" s="2" cm="1">
        <f t="array" ref="KC13">INDEX(增益!$A$2:$Q$40,JJ13,MATCH(KC$8,增益!$B$1:$Q$1,0)+1)*$AI13</f>
        <v>0</v>
      </c>
      <c r="KE13" s="2" cm="1">
        <f t="array" ref="KE13">INDEX(增益!$A$2:$Q$40,JJ13,MATCH(KE$8,增益!$B$1:$Q$1,0)+1)*$AI13</f>
        <v>0</v>
      </c>
      <c r="KG13" s="2" cm="1">
        <f t="array" ref="KG13">INDEX(增益!$A$2:$Q$40,JJ13,MATCH(KG$8,增益!$B$1:$Q$1,0)+1)*$AI13</f>
        <v>0</v>
      </c>
      <c r="KH13" s="2" cm="1">
        <f t="array" ref="KH13">INDEX(增益!$A$2:$Q$40,JJ13,MATCH(KH$8,增益!$B$1:$Q$1,0)+1)*$AI13</f>
        <v>0</v>
      </c>
      <c r="KL13" s="2" cm="1">
        <f t="array" ref="KL13">INDEX(云配队!$J18:$AC18,1,KL$1)</f>
        <v>0</v>
      </c>
      <c r="KM13" s="2">
        <f>IFERROR(MATCH(KL13,增益!$A$2:$A$40,FALSE),1)</f>
        <v>1</v>
      </c>
      <c r="KN13" s="2" cm="1">
        <f t="array" ref="KN13">INDEX(增益!$A$2:$Q$40,KM13,MATCH(KN$8,增益!$B$1:$Q$1,0)+1)*$AI13</f>
        <v>0</v>
      </c>
      <c r="KO13" s="2" cm="1">
        <f t="array" ref="KO13">INDEX(增益!$A$2:$Q$40,KM13,MATCH(KO$8,增益!$B$1:$Q$1,0)+1)*$AI13</f>
        <v>0</v>
      </c>
      <c r="KP13" s="2" cm="1">
        <f t="array" ref="KP13">INDEX(增益!$A$2:$Q$40,KM13,MATCH(KP$8,增益!$B$1:$Q$1,0)+1)*$AI13</f>
        <v>0</v>
      </c>
      <c r="KQ13" s="2" cm="1">
        <f t="array" ref="KQ13">INDEX(增益!$A$2:$Q$40,KM13,MATCH(KQ$8,增益!$B$1:$Q$1,0)+1)*$AI13</f>
        <v>0</v>
      </c>
      <c r="KR13" s="2" cm="1">
        <f t="array" ref="KR13">INDEX(增益!$A$2:$Q$40,KM13,MATCH(KR$8,增益!$B$1:$Q$1,0)+1)*$AI13</f>
        <v>0</v>
      </c>
      <c r="KS13" s="2" cm="1">
        <f t="array" ref="KS13">INDEX(增益!$A$2:$Q$40,KM13,MATCH(KS$8,增益!$B$1:$Q$1,0)+1)*$AI13</f>
        <v>0</v>
      </c>
      <c r="KT13" s="2" cm="1">
        <f t="array" ref="KT13">INDEX(增益!$A$2:$Q$40,KM13,MATCH(KT$8,增益!$B$1:$Q$1,0)+1)*$AI13</f>
        <v>0</v>
      </c>
      <c r="KU13" s="2" cm="1">
        <f t="array" ref="KU13">INDEX(增益!$A$2:$Q$40,KM13,MATCH(KU$8,增益!$B$1:$Q$1,0)+1)*$AI13</f>
        <v>0</v>
      </c>
      <c r="KV13" s="2" cm="1">
        <f t="array" ref="KV13">INDEX(增益!$A$2:$Q$40,KM13,MATCH(KV$8,增益!$B$1:$Q$1,0)+1)*$AI13</f>
        <v>0</v>
      </c>
      <c r="KW13" s="2" cm="1">
        <f t="array" ref="KW13">INDEX(增益!$A$2:$Q$40,KM13,MATCH(KW$8,增益!$B$1:$Q$1,0)+1)*$AI13</f>
        <v>0</v>
      </c>
      <c r="LD13" s="2" cm="1">
        <f t="array" ref="LD13">INDEX(增益!$A$2:$Q$40,KM13,MATCH(LD$8,增益!$B$1:$Q$1,0)+1)*$AI13</f>
        <v>0</v>
      </c>
      <c r="LE13" s="2" cm="1">
        <f t="array" ref="LE13">INDEX(增益!$A$2:$Q$40,KM13,MATCH(LE$8,增益!$B$1:$Q$1,0)+1)*$AI13</f>
        <v>0</v>
      </c>
      <c r="LF13" s="2" cm="1">
        <f t="array" ref="LF13">INDEX(增益!$A$2:$Q$40,KM13,MATCH(LF$8,增益!$B$1:$Q$1,0)+1)*$AI13</f>
        <v>0</v>
      </c>
      <c r="LH13" s="2" cm="1">
        <f t="array" ref="LH13">INDEX(增益!$A$2:$Q$40,KM13,MATCH(LH$8,增益!$B$1:$Q$1,0)+1)*$AI13</f>
        <v>0</v>
      </c>
      <c r="LJ13" s="2" cm="1">
        <f t="array" ref="LJ13">INDEX(增益!$A$2:$Q$40,KM13,MATCH(LJ$8,增益!$B$1:$Q$1,0)+1)*$AI13</f>
        <v>0</v>
      </c>
      <c r="LK13" s="2" cm="1">
        <f t="array" ref="LK13">INDEX(增益!$A$2:$Q$40,KM13,MATCH(LK$8,增益!$B$1:$Q$1,0)+1)*$AI13</f>
        <v>0</v>
      </c>
      <c r="LO13" s="2" cm="1">
        <f t="array" ref="LO13">INDEX(云配队!$J18:$AC18,1,LO$1)</f>
        <v>0</v>
      </c>
      <c r="LP13" s="2">
        <f>IFERROR(MATCH(LO13,增益!$A$2:$A$40,FALSE),1)</f>
        <v>1</v>
      </c>
      <c r="LQ13" s="2" cm="1">
        <f t="array" ref="LQ13">INDEX(增益!$A$2:$Q$40,LP13,MATCH(LQ$8,增益!$B$1:$Q$1,0)+1)*$AI13</f>
        <v>0</v>
      </c>
      <c r="LR13" s="2" cm="1">
        <f t="array" ref="LR13">INDEX(增益!$A$2:$Q$40,LP13,MATCH(LR$8,增益!$B$1:$Q$1,0)+1)*$AI13</f>
        <v>0</v>
      </c>
      <c r="LS13" s="2" cm="1">
        <f t="array" ref="LS13">INDEX(增益!$A$2:$Q$40,LP13,MATCH(LS$8,增益!$B$1:$Q$1,0)+1)*$AI13</f>
        <v>0</v>
      </c>
      <c r="LT13" s="2" cm="1">
        <f t="array" ref="LT13">INDEX(增益!$A$2:$Q$40,LP13,MATCH(LT$8,增益!$B$1:$Q$1,0)+1)*$AI13</f>
        <v>0</v>
      </c>
      <c r="LU13" s="2" cm="1">
        <f t="array" ref="LU13">INDEX(增益!$A$2:$Q$40,LP13,MATCH(LU$8,增益!$B$1:$Q$1,0)+1)*$AI13</f>
        <v>0</v>
      </c>
      <c r="LV13" s="2" cm="1">
        <f t="array" ref="LV13">INDEX(增益!$A$2:$Q$40,LP13,MATCH(LV$8,增益!$B$1:$Q$1,0)+1)*$AI13</f>
        <v>0</v>
      </c>
      <c r="LW13" s="2" cm="1">
        <f t="array" ref="LW13">INDEX(增益!$A$2:$Q$40,LP13,MATCH(LW$8,增益!$B$1:$Q$1,0)+1)*$AI13</f>
        <v>0</v>
      </c>
      <c r="LX13" s="2" cm="1">
        <f t="array" ref="LX13">INDEX(增益!$A$2:$Q$40,LP13,MATCH(LX$8,增益!$B$1:$Q$1,0)+1)*$AI13</f>
        <v>0</v>
      </c>
      <c r="LY13" s="2" cm="1">
        <f t="array" ref="LY13">INDEX(增益!$A$2:$Q$40,LP13,MATCH(LY$8,增益!$B$1:$Q$1,0)+1)*$AI13</f>
        <v>0</v>
      </c>
      <c r="LZ13" s="2" cm="1">
        <f t="array" ref="LZ13">INDEX(增益!$A$2:$Q$40,LP13,MATCH(LZ$8,增益!$B$1:$Q$1,0)+1)*$AI13</f>
        <v>0</v>
      </c>
      <c r="MG13" s="2" cm="1">
        <f t="array" ref="MG13">INDEX(增益!$A$2:$Q$40,LP13,MATCH(MG$8,增益!$B$1:$Q$1,0)+1)*$AI13</f>
        <v>0</v>
      </c>
      <c r="MH13" s="2" cm="1">
        <f t="array" ref="MH13">INDEX(增益!$A$2:$Q$40,LP13,MATCH(MH$8,增益!$B$1:$Q$1,0)+1)*$AI13</f>
        <v>0</v>
      </c>
      <c r="MI13" s="2" cm="1">
        <f t="array" ref="MI13">INDEX(增益!$A$2:$Q$40,LP13,MATCH(MI$8,增益!$B$1:$Q$1,0)+1)*$AI13</f>
        <v>0</v>
      </c>
      <c r="MK13" s="2" cm="1">
        <f t="array" ref="MK13">INDEX(增益!$A$2:$Q$40,LP13,MATCH(MK$8,增益!$B$1:$Q$1,0)+1)*$AI13</f>
        <v>0</v>
      </c>
      <c r="MM13" s="2" cm="1">
        <f t="array" ref="MM13">INDEX(增益!$A$2:$Q$40,LP13,MATCH(MM$8,增益!$B$1:$Q$1,0)+1)*$AI13</f>
        <v>0</v>
      </c>
      <c r="MN13" s="2" cm="1">
        <f t="array" ref="MN13">INDEX(增益!$A$2:$Q$40,LP13,MATCH(MN$8,增益!$B$1:$Q$1,0)+1)*$AI13</f>
        <v>0</v>
      </c>
      <c r="MR13" s="2" cm="1">
        <f t="array" ref="MR13">INDEX(云配队!$J18:$AC18,1,MR$1)</f>
        <v>0</v>
      </c>
      <c r="MS13" s="2">
        <f>IFERROR(MATCH(MR13,增益!$A$2:$A$40,FALSE),1)</f>
        <v>1</v>
      </c>
      <c r="MT13" s="2" cm="1">
        <f t="array" ref="MT13">INDEX(增益!$A$2:$Q$40,MS13,MATCH(MT$8,增益!$B$1:$Q$1,0)+1)*$AI13</f>
        <v>0</v>
      </c>
      <c r="MU13" s="2" cm="1">
        <f t="array" ref="MU13">INDEX(增益!$A$2:$Q$40,MS13,MATCH(MU$8,增益!$B$1:$Q$1,0)+1)*$AI13</f>
        <v>0</v>
      </c>
      <c r="MV13" s="2" cm="1">
        <f t="array" ref="MV13">INDEX(增益!$A$2:$Q$40,MS13,MATCH(MV$8,增益!$B$1:$Q$1,0)+1)*$AI13</f>
        <v>0</v>
      </c>
      <c r="MW13" s="2" cm="1">
        <f t="array" ref="MW13">INDEX(增益!$A$2:$Q$40,MS13,MATCH(MW$8,增益!$B$1:$Q$1,0)+1)*$AI13</f>
        <v>0</v>
      </c>
      <c r="MX13" s="2" cm="1">
        <f t="array" ref="MX13">INDEX(增益!$A$2:$Q$40,MS13,MATCH(MX$8,增益!$B$1:$Q$1,0)+1)*$AI13</f>
        <v>0</v>
      </c>
      <c r="MY13" s="2" cm="1">
        <f t="array" ref="MY13">INDEX(增益!$A$2:$Q$40,MS13,MATCH(MY$8,增益!$B$1:$Q$1,0)+1)*$AI13</f>
        <v>0</v>
      </c>
      <c r="MZ13" s="2" cm="1">
        <f t="array" ref="MZ13">INDEX(增益!$A$2:$Q$40,MS13,MATCH(MZ$8,增益!$B$1:$Q$1,0)+1)*$AI13</f>
        <v>0</v>
      </c>
      <c r="NA13" s="2" cm="1">
        <f t="array" ref="NA13">INDEX(增益!$A$2:$Q$40,MS13,MATCH(NA$8,增益!$B$1:$Q$1,0)+1)*$AI13</f>
        <v>0</v>
      </c>
      <c r="NB13" s="2" cm="1">
        <f t="array" ref="NB13">INDEX(增益!$A$2:$Q$40,MS13,MATCH(NB$8,增益!$B$1:$Q$1,0)+1)*$AI13</f>
        <v>0</v>
      </c>
      <c r="NC13" s="2" cm="1">
        <f t="array" ref="NC13">INDEX(增益!$A$2:$Q$40,MS13,MATCH(NC$8,增益!$B$1:$Q$1,0)+1)*$AI13</f>
        <v>0</v>
      </c>
      <c r="NJ13" s="2" cm="1">
        <f t="array" ref="NJ13">INDEX(增益!$A$2:$Q$40,MS13,MATCH(NJ$8,增益!$B$1:$Q$1,0)+1)*$AI13</f>
        <v>0</v>
      </c>
      <c r="NK13" s="2" cm="1">
        <f t="array" ref="NK13">INDEX(增益!$A$2:$Q$40,MS13,MATCH(NK$8,增益!$B$1:$Q$1,0)+1)*$AI13</f>
        <v>0</v>
      </c>
      <c r="NL13" s="2" cm="1">
        <f t="array" ref="NL13">INDEX(增益!$A$2:$Q$40,MS13,MATCH(NL$8,增益!$B$1:$Q$1,0)+1)*$AI13</f>
        <v>0</v>
      </c>
      <c r="NN13" s="2" cm="1">
        <f t="array" ref="NN13">INDEX(增益!$A$2:$Q$40,MS13,MATCH(NN$8,增益!$B$1:$Q$1,0)+1)*$AI13</f>
        <v>0</v>
      </c>
      <c r="NP13" s="2" cm="1">
        <f t="array" ref="NP13">INDEX(增益!$A$2:$Q$40,MS13,MATCH(NP$8,增益!$B$1:$Q$1,0)+1)*$AI13</f>
        <v>0</v>
      </c>
      <c r="NQ13" s="2" cm="1">
        <f t="array" ref="NQ13">INDEX(增益!$A$2:$Q$40,MS13,MATCH(NQ$8,增益!$B$1:$Q$1,0)+1)*$AI13</f>
        <v>0</v>
      </c>
      <c r="NU13" s="2" cm="1">
        <f t="array" ref="NU13">INDEX(云配队!$J18:$AC18,1,NU$1)</f>
        <v>0</v>
      </c>
      <c r="NV13" s="2">
        <f>IFERROR(MATCH(NU13,增益!$A$2:$A$40,FALSE),1)</f>
        <v>1</v>
      </c>
      <c r="NW13" s="2" cm="1">
        <f t="array" ref="NW13">INDEX(增益!$A$2:$Q$40,NV13,MATCH(NW$8,增益!$B$1:$Q$1,0)+1)*$AI13</f>
        <v>0</v>
      </c>
      <c r="NX13" s="2" cm="1">
        <f t="array" ref="NX13">INDEX(增益!$A$2:$Q$40,NV13,MATCH(NX$8,增益!$B$1:$Q$1,0)+1)*$AI13</f>
        <v>0</v>
      </c>
      <c r="NY13" s="2" cm="1">
        <f t="array" ref="NY13">INDEX(增益!$A$2:$Q$40,NV13,MATCH(NY$8,增益!$B$1:$Q$1,0)+1)*$AI13</f>
        <v>0</v>
      </c>
      <c r="NZ13" s="2" cm="1">
        <f t="array" ref="NZ13">INDEX(增益!$A$2:$Q$40,NV13,MATCH(NZ$8,增益!$B$1:$Q$1,0)+1)*$AI13</f>
        <v>0</v>
      </c>
      <c r="OA13" s="2" cm="1">
        <f t="array" ref="OA13">INDEX(增益!$A$2:$Q$40,NV13,MATCH(OA$8,增益!$B$1:$Q$1,0)+1)*$AI13</f>
        <v>0</v>
      </c>
      <c r="OB13" s="2" cm="1">
        <f t="array" ref="OB13">INDEX(增益!$A$2:$Q$40,NV13,MATCH(OB$8,增益!$B$1:$Q$1,0)+1)*$AI13</f>
        <v>0</v>
      </c>
      <c r="OC13" s="2" cm="1">
        <f t="array" ref="OC13">INDEX(增益!$A$2:$Q$40,NV13,MATCH(OC$8,增益!$B$1:$Q$1,0)+1)*$AI13</f>
        <v>0</v>
      </c>
      <c r="OD13" s="2" cm="1">
        <f t="array" ref="OD13">INDEX(增益!$A$2:$Q$40,NV13,MATCH(OD$8,增益!$B$1:$Q$1,0)+1)*$AI13</f>
        <v>0</v>
      </c>
      <c r="OE13" s="2" cm="1">
        <f t="array" ref="OE13">INDEX(增益!$A$2:$Q$40,NV13,MATCH(OE$8,增益!$B$1:$Q$1,0)+1)*$AI13</f>
        <v>0</v>
      </c>
      <c r="OF13" s="2" cm="1">
        <f t="array" ref="OF13">INDEX(增益!$A$2:$Q$40,NV13,MATCH(OF$8,增益!$B$1:$Q$1,0)+1)*$AI13</f>
        <v>0</v>
      </c>
      <c r="OM13" s="2" cm="1">
        <f t="array" ref="OM13">INDEX(增益!$A$2:$Q$40,NV13,MATCH(OM$8,增益!$B$1:$Q$1,0)+1)*$AI13</f>
        <v>0</v>
      </c>
      <c r="ON13" s="2" cm="1">
        <f t="array" ref="ON13">INDEX(增益!$A$2:$Q$40,NV13,MATCH(ON$8,增益!$B$1:$Q$1,0)+1)*$AI13</f>
        <v>0</v>
      </c>
      <c r="OO13" s="2" cm="1">
        <f t="array" ref="OO13">INDEX(增益!$A$2:$Q$40,NV13,MATCH(OO$8,增益!$B$1:$Q$1,0)+1)*$AI13</f>
        <v>0</v>
      </c>
      <c r="OQ13" s="2" cm="1">
        <f t="array" ref="OQ13">INDEX(增益!$A$2:$Q$40,NV13,MATCH(OQ$8,增益!$B$1:$Q$1,0)+1)*$AI13</f>
        <v>0</v>
      </c>
      <c r="OS13" s="2" cm="1">
        <f t="array" ref="OS13">INDEX(增益!$A$2:$Q$40,NV13,MATCH(OS$8,增益!$B$1:$Q$1,0)+1)*$AI13</f>
        <v>0</v>
      </c>
      <c r="OT13" s="2" cm="1">
        <f t="array" ref="OT13">INDEX(增益!$A$2:$Q$40,NV13,MATCH(OT$8,增益!$B$1:$Q$1,0)+1)*$AI13</f>
        <v>0</v>
      </c>
      <c r="OX13" s="2" cm="1">
        <f t="array" ref="OX13">INDEX(云配队!$J18:$AC18,1,OX$1)</f>
        <v>0</v>
      </c>
      <c r="OY13" s="2">
        <f>IFERROR(MATCH(OX13,增益!$A$2:$A$40,FALSE),1)</f>
        <v>1</v>
      </c>
      <c r="OZ13" s="2" cm="1">
        <f t="array" ref="OZ13">INDEX(增益!$A$2:$Q$40,OY13,MATCH(OZ$8,增益!$B$1:$Q$1,0)+1)*$AI13</f>
        <v>0</v>
      </c>
      <c r="PA13" s="2" cm="1">
        <f t="array" ref="PA13">INDEX(增益!$A$2:$Q$40,OY13,MATCH(PA$8,增益!$B$1:$Q$1,0)+1)*$AI13</f>
        <v>0</v>
      </c>
      <c r="PB13" s="2" cm="1">
        <f t="array" ref="PB13">INDEX(增益!$A$2:$Q$40,OY13,MATCH(PB$8,增益!$B$1:$Q$1,0)+1)*$AI13</f>
        <v>0</v>
      </c>
      <c r="PC13" s="2" cm="1">
        <f t="array" ref="PC13">INDEX(增益!$A$2:$Q$40,OY13,MATCH(PC$8,增益!$B$1:$Q$1,0)+1)*$AI13</f>
        <v>0</v>
      </c>
      <c r="PD13" s="2" cm="1">
        <f t="array" ref="PD13">INDEX(增益!$A$2:$Q$40,OY13,MATCH(PD$8,增益!$B$1:$Q$1,0)+1)*$AI13</f>
        <v>0</v>
      </c>
      <c r="PE13" s="2" cm="1">
        <f t="array" ref="PE13">INDEX(增益!$A$2:$Q$40,OY13,MATCH(PE$8,增益!$B$1:$Q$1,0)+1)*$AI13</f>
        <v>0</v>
      </c>
      <c r="PF13" s="2" cm="1">
        <f t="array" ref="PF13">INDEX(增益!$A$2:$Q$40,OY13,MATCH(PF$8,增益!$B$1:$Q$1,0)+1)*$AI13</f>
        <v>0</v>
      </c>
      <c r="PG13" s="2" cm="1">
        <f t="array" ref="PG13">INDEX(增益!$A$2:$Q$40,OY13,MATCH(PG$8,增益!$B$1:$Q$1,0)+1)*$AI13</f>
        <v>0</v>
      </c>
      <c r="PH13" s="2" cm="1">
        <f t="array" ref="PH13">INDEX(增益!$A$2:$Q$40,OY13,MATCH(PH$8,增益!$B$1:$Q$1,0)+1)*$AI13</f>
        <v>0</v>
      </c>
      <c r="PI13" s="2" cm="1">
        <f t="array" ref="PI13">INDEX(增益!$A$2:$Q$40,OY13,MATCH(PI$8,增益!$B$1:$Q$1,0)+1)*$AI13</f>
        <v>0</v>
      </c>
      <c r="PP13" s="2" cm="1">
        <f t="array" ref="PP13">INDEX(增益!$A$2:$Q$40,OY13,MATCH(PP$8,增益!$B$1:$Q$1,0)+1)*$AI13</f>
        <v>0</v>
      </c>
      <c r="PQ13" s="2" cm="1">
        <f t="array" ref="PQ13">INDEX(增益!$A$2:$Q$40,OY13,MATCH(PQ$8,增益!$B$1:$Q$1,0)+1)*$AI13</f>
        <v>0</v>
      </c>
      <c r="PR13" s="2" cm="1">
        <f t="array" ref="PR13">INDEX(增益!$A$2:$Q$40,OY13,MATCH(PR$8,增益!$B$1:$Q$1,0)+1)*$AI13</f>
        <v>0</v>
      </c>
      <c r="PT13" s="2" cm="1">
        <f t="array" ref="PT13">INDEX(增益!$A$2:$Q$40,OY13,MATCH(PT$8,增益!$B$1:$Q$1,0)+1)*$AI13</f>
        <v>0</v>
      </c>
      <c r="PV13" s="2" cm="1">
        <f t="array" ref="PV13">INDEX(增益!$A$2:$Q$40,OY13,MATCH(PV$8,增益!$B$1:$Q$1,0)+1)*$AI13</f>
        <v>0</v>
      </c>
      <c r="PW13" s="2" cm="1">
        <f t="array" ref="PW13">INDEX(增益!$A$2:$Q$40,OY13,MATCH(PW$8,增益!$B$1:$Q$1,0)+1)*$AI13</f>
        <v>0</v>
      </c>
      <c r="QA13" s="2" cm="1">
        <f t="array" ref="QA13">INDEX(云配队!$J18:$AC18,1,QA$1)</f>
        <v>0</v>
      </c>
      <c r="QB13" s="2">
        <f>IFERROR(MATCH(QA13,增益!$A$2:$A$40,FALSE),1)</f>
        <v>1</v>
      </c>
      <c r="QC13" s="2" cm="1">
        <f t="array" ref="QC13">INDEX(增益!$A$2:$Q$40,QB13,MATCH(QC$8,增益!$B$1:$Q$1,0)+1)*$AI13</f>
        <v>0</v>
      </c>
      <c r="QD13" s="2" cm="1">
        <f t="array" ref="QD13">INDEX(增益!$A$2:$Q$40,QB13,MATCH(QD$8,增益!$B$1:$Q$1,0)+1)*$AI13</f>
        <v>0</v>
      </c>
      <c r="QE13" s="2" cm="1">
        <f t="array" ref="QE13">INDEX(增益!$A$2:$Q$40,QB13,MATCH(QE$8,增益!$B$1:$Q$1,0)+1)*$AI13</f>
        <v>0</v>
      </c>
      <c r="QF13" s="2" cm="1">
        <f t="array" ref="QF13">INDEX(增益!$A$2:$Q$40,QB13,MATCH(QF$8,增益!$B$1:$Q$1,0)+1)*$AI13</f>
        <v>0</v>
      </c>
      <c r="QG13" s="2" cm="1">
        <f t="array" ref="QG13">INDEX(增益!$A$2:$Q$40,QB13,MATCH(QG$8,增益!$B$1:$Q$1,0)+1)*$AI13</f>
        <v>0</v>
      </c>
      <c r="QH13" s="2" cm="1">
        <f t="array" ref="QH13">INDEX(增益!$A$2:$Q$40,QB13,MATCH(QH$8,增益!$B$1:$Q$1,0)+1)*$AI13</f>
        <v>0</v>
      </c>
      <c r="QI13" s="2" cm="1">
        <f t="array" ref="QI13">INDEX(增益!$A$2:$Q$40,QB13,MATCH(QI$8,增益!$B$1:$Q$1,0)+1)*$AI13</f>
        <v>0</v>
      </c>
      <c r="QJ13" s="2" cm="1">
        <f t="array" ref="QJ13">INDEX(增益!$A$2:$Q$40,QB13,MATCH(QJ$8,增益!$B$1:$Q$1,0)+1)*$AI13</f>
        <v>0</v>
      </c>
      <c r="QK13" s="2" cm="1">
        <f t="array" ref="QK13">INDEX(增益!$A$2:$Q$40,QB13,MATCH(QK$8,增益!$B$1:$Q$1,0)+1)*$AI13</f>
        <v>0</v>
      </c>
      <c r="QL13" s="2" cm="1">
        <f t="array" ref="QL13">INDEX(增益!$A$2:$Q$40,QB13,MATCH(QL$8,增益!$B$1:$Q$1,0)+1)*$AI13</f>
        <v>0</v>
      </c>
      <c r="QS13" s="2" cm="1">
        <f t="array" ref="QS13">INDEX(增益!$A$2:$Q$40,QB13,MATCH(QS$8,增益!$B$1:$Q$1,0)+1)*$AI13</f>
        <v>0</v>
      </c>
      <c r="QT13" s="2" cm="1">
        <f t="array" ref="QT13">INDEX(增益!$A$2:$Q$40,QB13,MATCH(QT$8,增益!$B$1:$Q$1,0)+1)*$AI13</f>
        <v>0</v>
      </c>
      <c r="QU13" s="2" cm="1">
        <f t="array" ref="QU13">INDEX(增益!$A$2:$Q$40,QB13,MATCH(QU$8,增益!$B$1:$Q$1,0)+1)*$AI13</f>
        <v>0</v>
      </c>
      <c r="QW13" s="2" cm="1">
        <f t="array" ref="QW13">INDEX(增益!$A$2:$Q$40,QB13,MATCH(QW$8,增益!$B$1:$Q$1,0)+1)*$AI13</f>
        <v>0</v>
      </c>
      <c r="QY13" s="2" cm="1">
        <f t="array" ref="QY13">INDEX(增益!$A$2:$Q$40,QB13,MATCH(QY$8,增益!$B$1:$Q$1,0)+1)*$AI13</f>
        <v>0</v>
      </c>
      <c r="QZ13" s="2" cm="1">
        <f t="array" ref="QZ13">INDEX(增益!$A$2:$Q$40,QB13,MATCH(QZ$8,增益!$B$1:$Q$1,0)+1)*$AI13</f>
        <v>0</v>
      </c>
      <c r="RD13" s="2" cm="1">
        <f t="array" ref="RD13">INDEX(云配队!$J18:$AC18,1,RD$1)</f>
        <v>0</v>
      </c>
      <c r="RE13" s="2">
        <f>IFERROR(MATCH(RD13,增益!$A$2:$A$40,FALSE),1)</f>
        <v>1</v>
      </c>
      <c r="RF13" s="2" cm="1">
        <f t="array" ref="RF13">INDEX(增益!$A$2:$Q$40,RE13,MATCH(RF$8,增益!$B$1:$Q$1,0)+1)*$AI13</f>
        <v>0</v>
      </c>
      <c r="RG13" s="2" cm="1">
        <f t="array" ref="RG13">INDEX(增益!$A$2:$Q$40,RE13,MATCH(RG$8,增益!$B$1:$Q$1,0)+1)*$AI13</f>
        <v>0</v>
      </c>
      <c r="RH13" s="2" cm="1">
        <f t="array" ref="RH13">INDEX(增益!$A$2:$Q$40,RE13,MATCH(RH$8,增益!$B$1:$Q$1,0)+1)*$AI13</f>
        <v>0</v>
      </c>
      <c r="RI13" s="2" cm="1">
        <f t="array" ref="RI13">INDEX(增益!$A$2:$Q$40,RE13,MATCH(RI$8,增益!$B$1:$Q$1,0)+1)*$AI13</f>
        <v>0</v>
      </c>
      <c r="RJ13" s="2" cm="1">
        <f t="array" ref="RJ13">INDEX(增益!$A$2:$Q$40,RE13,MATCH(RJ$8,增益!$B$1:$Q$1,0)+1)*$AI13</f>
        <v>0</v>
      </c>
      <c r="RK13" s="2" cm="1">
        <f t="array" ref="RK13">INDEX(增益!$A$2:$Q$40,RE13,MATCH(RK$8,增益!$B$1:$Q$1,0)+1)*$AI13</f>
        <v>0</v>
      </c>
      <c r="RL13" s="2" cm="1">
        <f t="array" ref="RL13">INDEX(增益!$A$2:$Q$40,RE13,MATCH(RL$8,增益!$B$1:$Q$1,0)+1)*$AI13</f>
        <v>0</v>
      </c>
      <c r="RM13" s="2" cm="1">
        <f t="array" ref="RM13">INDEX(增益!$A$2:$Q$40,RE13,MATCH(RM$8,增益!$B$1:$Q$1,0)+1)*$AI13</f>
        <v>0</v>
      </c>
      <c r="RN13" s="2" cm="1">
        <f t="array" ref="RN13">INDEX(增益!$A$2:$Q$40,RE13,MATCH(RN$8,增益!$B$1:$Q$1,0)+1)*$AI13</f>
        <v>0</v>
      </c>
      <c r="RO13" s="2" cm="1">
        <f t="array" ref="RO13">INDEX(增益!$A$2:$Q$40,RE13,MATCH(RO$8,增益!$B$1:$Q$1,0)+1)*$AI13</f>
        <v>0</v>
      </c>
      <c r="RV13" s="2" cm="1">
        <f t="array" ref="RV13">INDEX(增益!$A$2:$Q$40,RE13,MATCH(RV$8,增益!$B$1:$Q$1,0)+1)*$AI13</f>
        <v>0</v>
      </c>
      <c r="RW13" s="2" cm="1">
        <f t="array" ref="RW13">INDEX(增益!$A$2:$Q$40,RE13,MATCH(RW$8,增益!$B$1:$Q$1,0)+1)*$AI13</f>
        <v>0</v>
      </c>
      <c r="RX13" s="2" cm="1">
        <f t="array" ref="RX13">INDEX(增益!$A$2:$Q$40,RE13,MATCH(RX$8,增益!$B$1:$Q$1,0)+1)*$AI13</f>
        <v>0</v>
      </c>
      <c r="RZ13" s="2" cm="1">
        <f t="array" ref="RZ13">INDEX(增益!$A$2:$Q$40,RE13,MATCH(RZ$8,增益!$B$1:$Q$1,0)+1)*$AI13</f>
        <v>0</v>
      </c>
      <c r="SB13" s="2" cm="1">
        <f t="array" ref="SB13">INDEX(增益!$A$2:$Q$40,RE13,MATCH(SB$8,增益!$B$1:$Q$1,0)+1)*$AI13</f>
        <v>0</v>
      </c>
      <c r="SC13" s="2" cm="1">
        <f t="array" ref="SC13">INDEX(增益!$A$2:$Q$40,RE13,MATCH(SC$8,增益!$B$1:$Q$1,0)+1)*$AI13</f>
        <v>0</v>
      </c>
      <c r="SG13" s="2" cm="1">
        <f t="array" ref="SG13">INDEX(云配队!$J18:$AC18,1,SG$1)</f>
        <v>0</v>
      </c>
      <c r="SH13" s="2">
        <f>IFERROR(MATCH(SG13,增益!$A$2:$A$40,FALSE),1)</f>
        <v>1</v>
      </c>
      <c r="SI13" s="2" cm="1">
        <f t="array" ref="SI13">INDEX(增益!$A$2:$Q$40,SH13,MATCH(SI$8,增益!$B$1:$Q$1,0)+1)*$AI13</f>
        <v>0</v>
      </c>
      <c r="SJ13" s="2" cm="1">
        <f t="array" ref="SJ13">INDEX(增益!$A$2:$Q$40,SH13,MATCH(SJ$8,增益!$B$1:$Q$1,0)+1)*$AI13</f>
        <v>0</v>
      </c>
      <c r="SK13" s="2" cm="1">
        <f t="array" ref="SK13">INDEX(增益!$A$2:$Q$40,SH13,MATCH(SK$8,增益!$B$1:$Q$1,0)+1)*$AI13</f>
        <v>0</v>
      </c>
      <c r="SL13" s="2" cm="1">
        <f t="array" ref="SL13">INDEX(增益!$A$2:$Q$40,SH13,MATCH(SL$8,增益!$B$1:$Q$1,0)+1)*$AI13</f>
        <v>0</v>
      </c>
      <c r="SM13" s="2" cm="1">
        <f t="array" ref="SM13">INDEX(增益!$A$2:$Q$40,SH13,MATCH(SM$8,增益!$B$1:$Q$1,0)+1)*$AI13</f>
        <v>0</v>
      </c>
      <c r="SN13" s="2" cm="1">
        <f t="array" ref="SN13">INDEX(增益!$A$2:$Q$40,SH13,MATCH(SN$8,增益!$B$1:$Q$1,0)+1)*$AI13</f>
        <v>0</v>
      </c>
      <c r="SO13" s="2" cm="1">
        <f t="array" ref="SO13">INDEX(增益!$A$2:$Q$40,SH13,MATCH(SO$8,增益!$B$1:$Q$1,0)+1)*$AI13</f>
        <v>0</v>
      </c>
      <c r="SP13" s="2" cm="1">
        <f t="array" ref="SP13">INDEX(增益!$A$2:$Q$40,SH13,MATCH(SP$8,增益!$B$1:$Q$1,0)+1)*$AI13</f>
        <v>0</v>
      </c>
      <c r="SQ13" s="2" cm="1">
        <f t="array" ref="SQ13">INDEX(增益!$A$2:$Q$40,SH13,MATCH(SQ$8,增益!$B$1:$Q$1,0)+1)*$AI13</f>
        <v>0</v>
      </c>
      <c r="SR13" s="2" cm="1">
        <f t="array" ref="SR13">INDEX(增益!$A$2:$Q$40,SH13,MATCH(SR$8,增益!$B$1:$Q$1,0)+1)*$AI13</f>
        <v>0</v>
      </c>
      <c r="SY13" s="2" cm="1">
        <f t="array" ref="SY13">INDEX(增益!$A$2:$Q$40,SH13,MATCH(SY$8,增益!$B$1:$Q$1,0)+1)*$AI13</f>
        <v>0</v>
      </c>
      <c r="SZ13" s="2" cm="1">
        <f t="array" ref="SZ13">INDEX(增益!$A$2:$Q$40,SH13,MATCH(SZ$8,增益!$B$1:$Q$1,0)+1)*$AI13</f>
        <v>0</v>
      </c>
      <c r="TA13" s="2" cm="1">
        <f t="array" ref="TA13">INDEX(增益!$A$2:$Q$40,SH13,MATCH(TA$8,增益!$B$1:$Q$1,0)+1)*$AI13</f>
        <v>0</v>
      </c>
      <c r="TC13" s="2" cm="1">
        <f t="array" ref="TC13">INDEX(增益!$A$2:$Q$40,SH13,MATCH(TC$8,增益!$B$1:$Q$1,0)+1)*$AI13</f>
        <v>0</v>
      </c>
      <c r="TE13" s="2" cm="1">
        <f t="array" ref="TE13">INDEX(增益!$A$2:$Q$40,SH13,MATCH(TE$8,增益!$B$1:$Q$1,0)+1)*$AI13</f>
        <v>0</v>
      </c>
      <c r="TF13" s="2" cm="1">
        <f t="array" ref="TF13">INDEX(增益!$A$2:$Q$40,SH13,MATCH(TF$8,增益!$B$1:$Q$1,0)+1)*$AI13</f>
        <v>0</v>
      </c>
      <c r="TJ13" s="2" cm="1">
        <f t="array" ref="TJ13">INDEX(云配队!$J18:$AC18,1,TJ$1)</f>
        <v>0</v>
      </c>
      <c r="TK13" s="2">
        <f>IFERROR(MATCH(TJ13,增益!$A$2:$A$40,FALSE),1)</f>
        <v>1</v>
      </c>
      <c r="TL13" s="2" cm="1">
        <f t="array" ref="TL13">INDEX(增益!$A$2:$Q$40,TK13,MATCH(TL$8,增益!$B$1:$Q$1,0)+1)*$AI13</f>
        <v>0</v>
      </c>
      <c r="TM13" s="2" cm="1">
        <f t="array" ref="TM13">INDEX(增益!$A$2:$Q$40,TK13,MATCH(TM$8,增益!$B$1:$Q$1,0)+1)*$AI13</f>
        <v>0</v>
      </c>
      <c r="TN13" s="2" cm="1">
        <f t="array" ref="TN13">INDEX(增益!$A$2:$Q$40,TK13,MATCH(TN$8,增益!$B$1:$Q$1,0)+1)*$AI13</f>
        <v>0</v>
      </c>
      <c r="TO13" s="2" cm="1">
        <f t="array" ref="TO13">INDEX(增益!$A$2:$Q$40,TK13,MATCH(TO$8,增益!$B$1:$Q$1,0)+1)*$AI13</f>
        <v>0</v>
      </c>
      <c r="TP13" s="2" cm="1">
        <f t="array" ref="TP13">INDEX(增益!$A$2:$Q$40,TK13,MATCH(TP$8,增益!$B$1:$Q$1,0)+1)*$AI13</f>
        <v>0</v>
      </c>
      <c r="TQ13" s="2" cm="1">
        <f t="array" ref="TQ13">INDEX(增益!$A$2:$Q$40,TK13,MATCH(TQ$8,增益!$B$1:$Q$1,0)+1)*$AI13</f>
        <v>0</v>
      </c>
      <c r="TR13" s="2" cm="1">
        <f t="array" ref="TR13">INDEX(增益!$A$2:$Q$40,TK13,MATCH(TR$8,增益!$B$1:$Q$1,0)+1)*$AI13</f>
        <v>0</v>
      </c>
      <c r="TS13" s="2" cm="1">
        <f t="array" ref="TS13">INDEX(增益!$A$2:$Q$40,TK13,MATCH(TS$8,增益!$B$1:$Q$1,0)+1)*$AI13</f>
        <v>0</v>
      </c>
      <c r="TT13" s="2" cm="1">
        <f t="array" ref="TT13">INDEX(增益!$A$2:$Q$40,TK13,MATCH(TT$8,增益!$B$1:$Q$1,0)+1)*$AI13</f>
        <v>0</v>
      </c>
      <c r="TU13" s="2" cm="1">
        <f t="array" ref="TU13">INDEX(增益!$A$2:$Q$40,TK13,MATCH(TU$8,增益!$B$1:$Q$1,0)+1)*$AI13</f>
        <v>0</v>
      </c>
      <c r="UB13" s="2" cm="1">
        <f t="array" ref="UB13">INDEX(增益!$A$2:$Q$40,TK13,MATCH(UB$8,增益!$B$1:$Q$1,0)+1)*$AI13</f>
        <v>0</v>
      </c>
      <c r="UC13" s="2" cm="1">
        <f t="array" ref="UC13">INDEX(增益!$A$2:$Q$40,TK13,MATCH(UC$8,增益!$B$1:$Q$1,0)+1)*$AI13</f>
        <v>0</v>
      </c>
      <c r="UD13" s="2" cm="1">
        <f t="array" ref="UD13">INDEX(增益!$A$2:$Q$40,TK13,MATCH(UD$8,增益!$B$1:$Q$1,0)+1)*$AI13</f>
        <v>0</v>
      </c>
      <c r="UF13" s="2" cm="1">
        <f t="array" ref="UF13">INDEX(增益!$A$2:$Q$40,TK13,MATCH(UF$8,增益!$B$1:$Q$1,0)+1)*$AI13</f>
        <v>0</v>
      </c>
      <c r="UH13" s="2" cm="1">
        <f t="array" ref="UH13">INDEX(增益!$A$2:$Q$40,TK13,MATCH(UH$8,增益!$B$1:$Q$1,0)+1)*$AI13</f>
        <v>0</v>
      </c>
      <c r="UI13" s="2" cm="1">
        <f t="array" ref="UI13">INDEX(增益!$A$2:$Q$40,TK13,MATCH(UI$8,增益!$B$1:$Q$1,0)+1)*$AI13</f>
        <v>0</v>
      </c>
      <c r="UM13" s="2" cm="1">
        <f t="array" ref="UM13">INDEX(云配队!$J18:$AC18,1,UM$1)</f>
        <v>0</v>
      </c>
      <c r="UN13" s="2">
        <f>IFERROR(MATCH(UM13,增益!$A$2:$A$40,FALSE),1)</f>
        <v>1</v>
      </c>
      <c r="UO13" s="2" cm="1">
        <f t="array" ref="UO13">INDEX(增益!$A$2:$Q$40,UN13,MATCH(UO$8,增益!$B$1:$Q$1,0)+1)*$AI13</f>
        <v>0</v>
      </c>
      <c r="UP13" s="2" cm="1">
        <f t="array" ref="UP13">INDEX(增益!$A$2:$Q$40,UN13,MATCH(UP$8,增益!$B$1:$Q$1,0)+1)*$AI13</f>
        <v>0</v>
      </c>
      <c r="UQ13" s="2" cm="1">
        <f t="array" ref="UQ13">INDEX(增益!$A$2:$Q$40,UN13,MATCH(UQ$8,增益!$B$1:$Q$1,0)+1)*$AI13</f>
        <v>0</v>
      </c>
      <c r="UR13" s="2" cm="1">
        <f t="array" ref="UR13">INDEX(增益!$A$2:$Q$40,UN13,MATCH(UR$8,增益!$B$1:$Q$1,0)+1)*$AI13</f>
        <v>0</v>
      </c>
      <c r="US13" s="2" cm="1">
        <f t="array" ref="US13">INDEX(增益!$A$2:$Q$40,UN13,MATCH(US$8,增益!$B$1:$Q$1,0)+1)*$AI13</f>
        <v>0</v>
      </c>
      <c r="UT13" s="2" cm="1">
        <f t="array" ref="UT13">INDEX(增益!$A$2:$Q$40,UN13,MATCH(UT$8,增益!$B$1:$Q$1,0)+1)*$AI13</f>
        <v>0</v>
      </c>
      <c r="UU13" s="2" cm="1">
        <f t="array" ref="UU13">INDEX(增益!$A$2:$Q$40,UN13,MATCH(UU$8,增益!$B$1:$Q$1,0)+1)*$AI13</f>
        <v>0</v>
      </c>
      <c r="UV13" s="2" cm="1">
        <f t="array" ref="UV13">INDEX(增益!$A$2:$Q$40,UN13,MATCH(UV$8,增益!$B$1:$Q$1,0)+1)*$AI13</f>
        <v>0</v>
      </c>
      <c r="UW13" s="2" cm="1">
        <f t="array" ref="UW13">INDEX(增益!$A$2:$Q$40,UN13,MATCH(UW$8,增益!$B$1:$Q$1,0)+1)*$AI13</f>
        <v>0</v>
      </c>
      <c r="UX13" s="2" cm="1">
        <f t="array" ref="UX13">INDEX(增益!$A$2:$Q$40,UN13,MATCH(UX$8,增益!$B$1:$Q$1,0)+1)*$AI13</f>
        <v>0</v>
      </c>
      <c r="VE13" s="2" cm="1">
        <f t="array" ref="VE13">INDEX(增益!$A$2:$Q$40,UN13,MATCH(VE$8,增益!$B$1:$Q$1,0)+1)*$AI13</f>
        <v>0</v>
      </c>
      <c r="VF13" s="2" cm="1">
        <f t="array" ref="VF13">INDEX(增益!$A$2:$Q$40,UN13,MATCH(VF$8,增益!$B$1:$Q$1,0)+1)*$AI13</f>
        <v>0</v>
      </c>
      <c r="VG13" s="2" cm="1">
        <f t="array" ref="VG13">INDEX(增益!$A$2:$Q$40,UN13,MATCH(VG$8,增益!$B$1:$Q$1,0)+1)*$AI13</f>
        <v>0</v>
      </c>
      <c r="VI13" s="2" cm="1">
        <f t="array" ref="VI13">INDEX(增益!$A$2:$Q$40,UN13,MATCH(VI$8,增益!$B$1:$Q$1,0)+1)*$AI13</f>
        <v>0</v>
      </c>
      <c r="VK13" s="2" cm="1">
        <f t="array" ref="VK13">INDEX(增益!$A$2:$Q$40,UN13,MATCH(VK$8,增益!$B$1:$Q$1,0)+1)*$AI13</f>
        <v>0</v>
      </c>
      <c r="VL13" s="2" cm="1">
        <f t="array" ref="VL13">INDEX(增益!$A$2:$Q$40,UN13,MATCH(VL$8,增益!$B$1:$Q$1,0)+1)*$AI13</f>
        <v>0</v>
      </c>
      <c r="VP13" s="2" cm="1">
        <f t="array" ref="VP13">INDEX(云配队!$J18:$AC18,1,VP$1)</f>
        <v>0</v>
      </c>
      <c r="VQ13" s="2">
        <f>IFERROR(MATCH(VP13,增益!$A$2:$A$40,FALSE),1)</f>
        <v>1</v>
      </c>
      <c r="VR13" s="2" cm="1">
        <f t="array" ref="VR13">INDEX(增益!$A$2:$Q$40,VQ13,MATCH(VR$8,增益!$B$1:$Q$1,0)+1)*$AI13</f>
        <v>0</v>
      </c>
      <c r="VS13" s="2" cm="1">
        <f t="array" ref="VS13">INDEX(增益!$A$2:$Q$40,VQ13,MATCH(VS$8,增益!$B$1:$Q$1,0)+1)*$AI13</f>
        <v>0</v>
      </c>
      <c r="VT13" s="2" cm="1">
        <f t="array" ref="VT13">INDEX(增益!$A$2:$Q$40,VQ13,MATCH(VT$8,增益!$B$1:$Q$1,0)+1)*$AI13</f>
        <v>0</v>
      </c>
      <c r="VU13" s="2" cm="1">
        <f t="array" ref="VU13">INDEX(增益!$A$2:$Q$40,VQ13,MATCH(VU$8,增益!$B$1:$Q$1,0)+1)*$AI13</f>
        <v>0</v>
      </c>
      <c r="VV13" s="2" cm="1">
        <f t="array" ref="VV13">INDEX(增益!$A$2:$Q$40,VQ13,MATCH(VV$8,增益!$B$1:$Q$1,0)+1)*$AI13</f>
        <v>0</v>
      </c>
      <c r="VW13" s="2" cm="1">
        <f t="array" ref="VW13">INDEX(增益!$A$2:$Q$40,VQ13,MATCH(VW$8,增益!$B$1:$Q$1,0)+1)*$AI13</f>
        <v>0</v>
      </c>
      <c r="VX13" s="2" cm="1">
        <f t="array" ref="VX13">INDEX(增益!$A$2:$Q$40,VQ13,MATCH(VX$8,增益!$B$1:$Q$1,0)+1)*$AI13</f>
        <v>0</v>
      </c>
      <c r="VY13" s="2" cm="1">
        <f t="array" ref="VY13">INDEX(增益!$A$2:$Q$40,VQ13,MATCH(VY$8,增益!$B$1:$Q$1,0)+1)*$AI13</f>
        <v>0</v>
      </c>
      <c r="VZ13" s="2" cm="1">
        <f t="array" ref="VZ13">INDEX(增益!$A$2:$Q$40,VQ13,MATCH(VZ$8,增益!$B$1:$Q$1,0)+1)*$AI13</f>
        <v>0</v>
      </c>
      <c r="WA13" s="2" cm="1">
        <f t="array" ref="WA13">INDEX(增益!$A$2:$Q$40,VQ13,MATCH(WA$8,增益!$B$1:$Q$1,0)+1)*$AI13</f>
        <v>0</v>
      </c>
      <c r="WH13" s="2" cm="1">
        <f t="array" ref="WH13">INDEX(增益!$A$2:$Q$40,VQ13,MATCH(WH$8,增益!$B$1:$Q$1,0)+1)*$AI13</f>
        <v>0</v>
      </c>
      <c r="WI13" s="2" cm="1">
        <f t="array" ref="WI13">INDEX(增益!$A$2:$Q$40,VQ13,MATCH(WI$8,增益!$B$1:$Q$1,0)+1)*$AI13</f>
        <v>0</v>
      </c>
      <c r="WJ13" s="2" cm="1">
        <f t="array" ref="WJ13">INDEX(增益!$A$2:$Q$40,VQ13,MATCH(WJ$8,增益!$B$1:$Q$1,0)+1)*$AI13</f>
        <v>0</v>
      </c>
      <c r="WL13" s="2" cm="1">
        <f t="array" ref="WL13">INDEX(增益!$A$2:$Q$40,VQ13,MATCH(WL$8,增益!$B$1:$Q$1,0)+1)*$AI13</f>
        <v>0</v>
      </c>
      <c r="WN13" s="2" cm="1">
        <f t="array" ref="WN13">INDEX(增益!$A$2:$Q$40,VQ13,MATCH(WN$8,增益!$B$1:$Q$1,0)+1)*$AI13</f>
        <v>0</v>
      </c>
      <c r="WO13" s="2" cm="1">
        <f t="array" ref="WO13">INDEX(增益!$A$2:$Q$40,VQ13,MATCH(WO$8,增益!$B$1:$Q$1,0)+1)*$AI13</f>
        <v>0</v>
      </c>
    </row>
    <row r="14" spans="1:616">
      <c r="AI14" s="2">
        <f>IF(云配队!H19&gt;0,云配队!H19,1)</f>
        <v>1</v>
      </c>
      <c r="AK14" s="2" cm="1">
        <f t="array" ref="AK14">INDEX(云配队!$J19:$AC19,1,AK$1)</f>
        <v>0</v>
      </c>
      <c r="AL14" s="2">
        <f>IFERROR(MATCH(AK14,增益!$A$2:$A$40,FALSE),1)</f>
        <v>1</v>
      </c>
      <c r="AM14" s="2" cm="1">
        <f t="array" ref="AM14">INDEX(增益!$A$2:$Q$40,AL14,MATCH(AM$8,增益!$B$1:$Q$1,0)+1)*$AI14</f>
        <v>0</v>
      </c>
      <c r="AN14" s="2" cm="1">
        <f t="array" ref="AN14">INDEX(增益!$A$2:$Q$40,AL14,MATCH(AN$8,增益!$B$1:$Q$1,0)+1)*$AI14</f>
        <v>0</v>
      </c>
      <c r="AO14" s="2" cm="1">
        <f t="array" ref="AO14">INDEX(增益!$A$2:$Q$40,AL14,MATCH(AO$8,增益!$B$1:$Q$1,0)+1)*$AI14</f>
        <v>0</v>
      </c>
      <c r="AP14" s="2" cm="1">
        <f t="array" ref="AP14">INDEX(增益!$A$2:$Q$40,AL14,MATCH(AP$8,增益!$B$1:$Q$1,0)+1)*$AI14</f>
        <v>0</v>
      </c>
      <c r="AQ14" s="2" cm="1">
        <f t="array" ref="AQ14">INDEX(增益!$A$2:$Q$40,AL14,MATCH(AQ$8,增益!$B$1:$Q$1,0)+1)*$AI14</f>
        <v>0</v>
      </c>
      <c r="AR14" s="2" cm="1">
        <f t="array" ref="AR14">INDEX(增益!$A$2:$Q$40,AL14,MATCH(AR$8,增益!$B$1:$Q$1,0)+1)*$AI14</f>
        <v>0</v>
      </c>
      <c r="AS14" s="2" cm="1">
        <f t="array" ref="AS14">INDEX(增益!$A$2:$Q$40,AL14,MATCH(AS$8,增益!$B$1:$Q$1,0)+1)*$AI14</f>
        <v>0</v>
      </c>
      <c r="AT14" s="2" cm="1">
        <f t="array" ref="AT14">INDEX(增益!$A$2:$Q$40,AL14,MATCH(AT$8,增益!$B$1:$Q$1,0)+1)*$AI14</f>
        <v>0</v>
      </c>
      <c r="AU14" s="2" cm="1">
        <f t="array" ref="AU14">INDEX(增益!$A$2:$Q$40,AL14,MATCH(AU$8,增益!$B$1:$Q$1,0)+1)*$AI14</f>
        <v>0</v>
      </c>
      <c r="AV14" s="2" cm="1">
        <f t="array" ref="AV14">INDEX(增益!$A$2:$Q$40,AL14,MATCH(AV$8,增益!$B$1:$Q$1,0)+1)*$AI14</f>
        <v>0</v>
      </c>
      <c r="BC14" s="2" cm="1">
        <f t="array" ref="BC14">INDEX(增益!$A$2:$Q$40,AL14,MATCH(BC$8,增益!$B$1:$Q$1,0)+1)*$AI14</f>
        <v>0</v>
      </c>
      <c r="BD14" s="2" cm="1">
        <f t="array" ref="BD14">INDEX(增益!$A$2:$Q$40,AL14,MATCH(BD$8,增益!$B$1:$Q$1,0)+1)*$AI14</f>
        <v>0</v>
      </c>
      <c r="BE14" s="2" cm="1">
        <f t="array" ref="BE14">INDEX(增益!$A$2:$Q$40,AL14,MATCH(BE$8,增益!$B$1:$Q$1,0)+1)*$AI14</f>
        <v>0</v>
      </c>
      <c r="BG14" s="2" cm="1">
        <f t="array" ref="BG14">INDEX(增益!$A$2:$Q$40,AL14,MATCH(BG$8,增益!$B$1:$Q$1,0)+1)*$AI14</f>
        <v>0</v>
      </c>
      <c r="BI14" s="2" cm="1">
        <f t="array" ref="BI14">INDEX(增益!$A$2:$Q$40,AL14,MATCH(BI$8,增益!$B$1:$Q$1,0)+1)*$AI14</f>
        <v>0</v>
      </c>
      <c r="BJ14" s="2" cm="1">
        <f t="array" ref="BJ14">INDEX(增益!$A$2:$Q$40,AL14,MATCH(BJ$8,增益!$B$1:$Q$1,0)+1)*$AI14</f>
        <v>0</v>
      </c>
      <c r="BN14" s="2" cm="1">
        <f t="array" ref="BN14">INDEX(云配队!$J19:$AC19,1,BN$1)</f>
        <v>0</v>
      </c>
      <c r="BO14" s="2">
        <f>IFERROR(MATCH(BN14,增益!$A$2:$A$40,FALSE),1)</f>
        <v>1</v>
      </c>
      <c r="BP14" s="2" cm="1">
        <f t="array" ref="BP14">INDEX(增益!$A$2:$Q$40,BO14,MATCH(BP$8,增益!$B$1:$Q$1,0)+1)*$AI14</f>
        <v>0</v>
      </c>
      <c r="BQ14" s="2" cm="1">
        <f t="array" ref="BQ14">INDEX(增益!$A$2:$Q$40,BO14,MATCH(BQ$8,增益!$B$1:$Q$1,0)+1)*$AI14</f>
        <v>0</v>
      </c>
      <c r="BR14" s="2" cm="1">
        <f t="array" ref="BR14">INDEX(增益!$A$2:$Q$40,BO14,MATCH(BR$8,增益!$B$1:$Q$1,0)+1)*$AI14</f>
        <v>0</v>
      </c>
      <c r="BS14" s="2" cm="1">
        <f t="array" ref="BS14">INDEX(增益!$A$2:$Q$40,BO14,MATCH(BS$8,增益!$B$1:$Q$1,0)+1)*$AI14</f>
        <v>0</v>
      </c>
      <c r="BT14" s="2" cm="1">
        <f t="array" ref="BT14">INDEX(增益!$A$2:$Q$40,BO14,MATCH(BT$8,增益!$B$1:$Q$1,0)+1)*$AI14</f>
        <v>0</v>
      </c>
      <c r="BU14" s="2" cm="1">
        <f t="array" ref="BU14">INDEX(增益!$A$2:$Q$40,BO14,MATCH(BU$8,增益!$B$1:$Q$1,0)+1)*$AI14</f>
        <v>0</v>
      </c>
      <c r="BV14" s="2" cm="1">
        <f t="array" ref="BV14">INDEX(增益!$A$2:$Q$40,BO14,MATCH(BV$8,增益!$B$1:$Q$1,0)+1)*$AI14</f>
        <v>0</v>
      </c>
      <c r="BW14" s="2" cm="1">
        <f t="array" ref="BW14">INDEX(增益!$A$2:$Q$40,BO14,MATCH(BW$8,增益!$B$1:$Q$1,0)+1)*$AI14</f>
        <v>0</v>
      </c>
      <c r="BX14" s="2" cm="1">
        <f t="array" ref="BX14">INDEX(增益!$A$2:$Q$40,BO14,MATCH(BX$8,增益!$B$1:$Q$1,0)+1)*$AI14</f>
        <v>0</v>
      </c>
      <c r="BY14" s="2" cm="1">
        <f t="array" ref="BY14">INDEX(增益!$A$2:$Q$40,BO14,MATCH(BY$8,增益!$B$1:$Q$1,0)+1)*$AI14</f>
        <v>0</v>
      </c>
      <c r="CF14" s="2" cm="1">
        <f t="array" ref="CF14">INDEX(增益!$A$2:$Q$40,BO14,MATCH(CF$8,增益!$B$1:$Q$1,0)+1)*$AI14</f>
        <v>0</v>
      </c>
      <c r="CG14" s="2" cm="1">
        <f t="array" ref="CG14">INDEX(增益!$A$2:$Q$40,BO14,MATCH(CG$8,增益!$B$1:$Q$1,0)+1)*$AI14</f>
        <v>0</v>
      </c>
      <c r="CH14" s="2" cm="1">
        <f t="array" ref="CH14">INDEX(增益!$A$2:$Q$40,BO14,MATCH(CH$8,增益!$B$1:$Q$1,0)+1)*$AI14</f>
        <v>0</v>
      </c>
      <c r="CJ14" s="2" cm="1">
        <f t="array" ref="CJ14">INDEX(增益!$A$2:$Q$40,BO14,MATCH(CJ$8,增益!$B$1:$Q$1,0)+1)*$AI14</f>
        <v>0</v>
      </c>
      <c r="CL14" s="2" cm="1">
        <f t="array" ref="CL14">INDEX(增益!$A$2:$Q$40,BO14,MATCH(CL$8,增益!$B$1:$Q$1,0)+1)*$AI14</f>
        <v>0</v>
      </c>
      <c r="CM14" s="2" cm="1">
        <f t="array" ref="CM14">INDEX(增益!$A$2:$Q$40,BO14,MATCH(CM$8,增益!$B$1:$Q$1,0)+1)*$AI14</f>
        <v>0</v>
      </c>
      <c r="CQ14" s="2" cm="1">
        <f t="array" ref="CQ14">INDEX(云配队!$J19:$AC19,1,CQ$1)</f>
        <v>0</v>
      </c>
      <c r="CR14" s="2">
        <f>IFERROR(MATCH(CQ14,增益!$A$2:$A$40,FALSE),1)</f>
        <v>1</v>
      </c>
      <c r="CS14" s="2" cm="1">
        <f t="array" ref="CS14">INDEX(增益!$A$2:$Q$40,CR14,MATCH(CS$8,增益!$B$1:$Q$1,0)+1)*$AI14</f>
        <v>0</v>
      </c>
      <c r="CT14" s="2" cm="1">
        <f t="array" ref="CT14">INDEX(增益!$A$2:$Q$40,CR14,MATCH(CT$8,增益!$B$1:$Q$1,0)+1)*$AI14</f>
        <v>0</v>
      </c>
      <c r="CU14" s="2" cm="1">
        <f t="array" ref="CU14">INDEX(增益!$A$2:$Q$40,CR14,MATCH(CU$8,增益!$B$1:$Q$1,0)+1)*$AI14</f>
        <v>0</v>
      </c>
      <c r="CV14" s="2" cm="1">
        <f t="array" ref="CV14">INDEX(增益!$A$2:$Q$40,CR14,MATCH(CV$8,增益!$B$1:$Q$1,0)+1)*$AI14</f>
        <v>0</v>
      </c>
      <c r="CW14" s="2" cm="1">
        <f t="array" ref="CW14">INDEX(增益!$A$2:$Q$40,CR14,MATCH(CW$8,增益!$B$1:$Q$1,0)+1)*$AI14</f>
        <v>0</v>
      </c>
      <c r="CX14" s="2" cm="1">
        <f t="array" ref="CX14">INDEX(增益!$A$2:$Q$40,CR14,MATCH(CX$8,增益!$B$1:$Q$1,0)+1)*$AI14</f>
        <v>0</v>
      </c>
      <c r="CY14" s="2" cm="1">
        <f t="array" ref="CY14">INDEX(增益!$A$2:$Q$40,CR14,MATCH(CY$8,增益!$B$1:$Q$1,0)+1)*$AI14</f>
        <v>0</v>
      </c>
      <c r="CZ14" s="2" cm="1">
        <f t="array" ref="CZ14">INDEX(增益!$A$2:$Q$40,CR14,MATCH(CZ$8,增益!$B$1:$Q$1,0)+1)*$AI14</f>
        <v>0</v>
      </c>
      <c r="DA14" s="2" cm="1">
        <f t="array" ref="DA14">INDEX(增益!$A$2:$Q$40,CR14,MATCH(DA$8,增益!$B$1:$Q$1,0)+1)*$AI14</f>
        <v>0</v>
      </c>
      <c r="DB14" s="2" cm="1">
        <f t="array" ref="DB14">INDEX(增益!$A$2:$Q$40,CR14,MATCH(DB$8,增益!$B$1:$Q$1,0)+1)*$AI14</f>
        <v>0</v>
      </c>
      <c r="DI14" s="2" cm="1">
        <f t="array" ref="DI14">INDEX(增益!$A$2:$Q$40,CR14,MATCH(DI$8,增益!$B$1:$Q$1,0)+1)*$AI14</f>
        <v>0</v>
      </c>
      <c r="DJ14" s="2" cm="1">
        <f t="array" ref="DJ14">INDEX(增益!$A$2:$Q$40,CR14,MATCH(DJ$8,增益!$B$1:$Q$1,0)+1)*$AI14</f>
        <v>0</v>
      </c>
      <c r="DK14" s="2" cm="1">
        <f t="array" ref="DK14">INDEX(增益!$A$2:$Q$40,CR14,MATCH(DK$8,增益!$B$1:$Q$1,0)+1)*$AI14</f>
        <v>0</v>
      </c>
      <c r="DM14" s="2" cm="1">
        <f t="array" ref="DM14">INDEX(增益!$A$2:$Q$40,CR14,MATCH(DM$8,增益!$B$1:$Q$1,0)+1)*$AI14</f>
        <v>0</v>
      </c>
      <c r="DO14" s="2" cm="1">
        <f t="array" ref="DO14">INDEX(增益!$A$2:$Q$40,CR14,MATCH(DO$8,增益!$B$1:$Q$1,0)+1)*$AI14</f>
        <v>0</v>
      </c>
      <c r="DP14" s="2" cm="1">
        <f t="array" ref="DP14">INDEX(增益!$A$2:$Q$40,CR14,MATCH(DP$8,增益!$B$1:$Q$1,0)+1)*$AI14</f>
        <v>0</v>
      </c>
      <c r="DT14" s="2" cm="1">
        <f t="array" ref="DT14">INDEX(云配队!$J19:$AC19,1,DT$1)</f>
        <v>0</v>
      </c>
      <c r="DU14" s="2">
        <f>IFERROR(MATCH(DT14,增益!$A$2:$A$40,FALSE),1)</f>
        <v>1</v>
      </c>
      <c r="DV14" s="2" cm="1">
        <f t="array" ref="DV14">INDEX(增益!$A$2:$Q$40,DU14,MATCH(DV$8,增益!$B$1:$Q$1,0)+1)*$AI14</f>
        <v>0</v>
      </c>
      <c r="DW14" s="2" cm="1">
        <f t="array" ref="DW14">INDEX(增益!$A$2:$Q$40,DU14,MATCH(DW$8,增益!$B$1:$Q$1,0)+1)*$AI14</f>
        <v>0</v>
      </c>
      <c r="DX14" s="2" cm="1">
        <f t="array" ref="DX14">INDEX(增益!$A$2:$Q$40,DU14,MATCH(DX$8,增益!$B$1:$Q$1,0)+1)*$AI14</f>
        <v>0</v>
      </c>
      <c r="DY14" s="2" cm="1">
        <f t="array" ref="DY14">INDEX(增益!$A$2:$Q$40,DU14,MATCH(DY$8,增益!$B$1:$Q$1,0)+1)*$AI14</f>
        <v>0</v>
      </c>
      <c r="DZ14" s="2" cm="1">
        <f t="array" ref="DZ14">INDEX(增益!$A$2:$Q$40,DU14,MATCH(DZ$8,增益!$B$1:$Q$1,0)+1)*$AI14</f>
        <v>0</v>
      </c>
      <c r="EA14" s="2" cm="1">
        <f t="array" ref="EA14">INDEX(增益!$A$2:$Q$40,DU14,MATCH(EA$8,增益!$B$1:$Q$1,0)+1)*$AI14</f>
        <v>0</v>
      </c>
      <c r="EB14" s="2" cm="1">
        <f t="array" ref="EB14">INDEX(增益!$A$2:$Q$40,DU14,MATCH(EB$8,增益!$B$1:$Q$1,0)+1)*$AI14</f>
        <v>0</v>
      </c>
      <c r="EC14" s="2" cm="1">
        <f t="array" ref="EC14">INDEX(增益!$A$2:$Q$40,DU14,MATCH(EC$8,增益!$B$1:$Q$1,0)+1)*$AI14</f>
        <v>0</v>
      </c>
      <c r="ED14" s="2" cm="1">
        <f t="array" ref="ED14">INDEX(增益!$A$2:$Q$40,DU14,MATCH(ED$8,增益!$B$1:$Q$1,0)+1)*$AI14</f>
        <v>0</v>
      </c>
      <c r="EE14" s="2" cm="1">
        <f t="array" ref="EE14">INDEX(增益!$A$2:$Q$40,DU14,MATCH(EE$8,增益!$B$1:$Q$1,0)+1)*$AI14</f>
        <v>0</v>
      </c>
      <c r="EL14" s="2" cm="1">
        <f t="array" ref="EL14">INDEX(增益!$A$2:$Q$40,DU14,MATCH(EL$8,增益!$B$1:$Q$1,0)+1)*$AI14</f>
        <v>0</v>
      </c>
      <c r="EM14" s="2" cm="1">
        <f t="array" ref="EM14">INDEX(增益!$A$2:$Q$40,DU14,MATCH(EM$8,增益!$B$1:$Q$1,0)+1)*$AI14</f>
        <v>0</v>
      </c>
      <c r="EN14" s="2" cm="1">
        <f t="array" ref="EN14">INDEX(增益!$A$2:$Q$40,DU14,MATCH(EN$8,增益!$B$1:$Q$1,0)+1)*$AI14</f>
        <v>0</v>
      </c>
      <c r="EP14" s="2" cm="1">
        <f t="array" ref="EP14">INDEX(增益!$A$2:$Q$40,DU14,MATCH(EP$8,增益!$B$1:$Q$1,0)+1)*$AI14</f>
        <v>0</v>
      </c>
      <c r="ER14" s="2" cm="1">
        <f t="array" ref="ER14">INDEX(增益!$A$2:$Q$40,DU14,MATCH(ER$8,增益!$B$1:$Q$1,0)+1)*$AI14</f>
        <v>0</v>
      </c>
      <c r="ES14" s="2" cm="1">
        <f t="array" ref="ES14">INDEX(增益!$A$2:$Q$40,DU14,MATCH(ES$8,增益!$B$1:$Q$1,0)+1)*$AI14</f>
        <v>0</v>
      </c>
      <c r="EW14" s="2" cm="1">
        <f t="array" ref="EW14">INDEX(云配队!$J19:$AC19,1,EW$1)</f>
        <v>0</v>
      </c>
      <c r="EX14" s="2">
        <f>IFERROR(MATCH(EW14,增益!$A$2:$A$40,FALSE),1)</f>
        <v>1</v>
      </c>
      <c r="EY14" s="2" cm="1">
        <f t="array" ref="EY14">INDEX(增益!$A$2:$Q$40,EX14,MATCH(EY$8,增益!$B$1:$Q$1,0)+1)*$AI14</f>
        <v>0</v>
      </c>
      <c r="EZ14" s="2" cm="1">
        <f t="array" ref="EZ14">INDEX(增益!$A$2:$Q$40,EX14,MATCH(EZ$8,增益!$B$1:$Q$1,0)+1)*$AI14</f>
        <v>0</v>
      </c>
      <c r="FA14" s="2" cm="1">
        <f t="array" ref="FA14">INDEX(增益!$A$2:$Q$40,EX14,MATCH(FA$8,增益!$B$1:$Q$1,0)+1)*$AI14</f>
        <v>0</v>
      </c>
      <c r="FB14" s="2" cm="1">
        <f t="array" ref="FB14">INDEX(增益!$A$2:$Q$40,EX14,MATCH(FB$8,增益!$B$1:$Q$1,0)+1)*$AI14</f>
        <v>0</v>
      </c>
      <c r="FC14" s="2" cm="1">
        <f t="array" ref="FC14">INDEX(增益!$A$2:$Q$40,EX14,MATCH(FC$8,增益!$B$1:$Q$1,0)+1)*$AI14</f>
        <v>0</v>
      </c>
      <c r="FD14" s="2" cm="1">
        <f t="array" ref="FD14">INDEX(增益!$A$2:$Q$40,EX14,MATCH(FD$8,增益!$B$1:$Q$1,0)+1)*$AI14</f>
        <v>0</v>
      </c>
      <c r="FE14" s="2" cm="1">
        <f t="array" ref="FE14">INDEX(增益!$A$2:$Q$40,EX14,MATCH(FE$8,增益!$B$1:$Q$1,0)+1)*$AI14</f>
        <v>0</v>
      </c>
      <c r="FF14" s="2" cm="1">
        <f t="array" ref="FF14">INDEX(增益!$A$2:$Q$40,EX14,MATCH(FF$8,增益!$B$1:$Q$1,0)+1)*$AI14</f>
        <v>0</v>
      </c>
      <c r="FG14" s="2" cm="1">
        <f t="array" ref="FG14">INDEX(增益!$A$2:$Q$40,EX14,MATCH(FG$8,增益!$B$1:$Q$1,0)+1)*$AI14</f>
        <v>0</v>
      </c>
      <c r="FH14" s="2" cm="1">
        <f t="array" ref="FH14">INDEX(增益!$A$2:$Q$40,EX14,MATCH(FH$8,增益!$B$1:$Q$1,0)+1)*$AI14</f>
        <v>0</v>
      </c>
      <c r="FO14" s="2" cm="1">
        <f t="array" ref="FO14">INDEX(增益!$A$2:$Q$40,EX14,MATCH(FO$8,增益!$B$1:$Q$1,0)+1)*$AI14</f>
        <v>0</v>
      </c>
      <c r="FP14" s="2" cm="1">
        <f t="array" ref="FP14">INDEX(增益!$A$2:$Q$40,EX14,MATCH(FP$8,增益!$B$1:$Q$1,0)+1)*$AI14</f>
        <v>0</v>
      </c>
      <c r="FQ14" s="2" cm="1">
        <f t="array" ref="FQ14">INDEX(增益!$A$2:$Q$40,EX14,MATCH(FQ$8,增益!$B$1:$Q$1,0)+1)*$AI14</f>
        <v>0</v>
      </c>
      <c r="FS14" s="2" cm="1">
        <f t="array" ref="FS14">INDEX(增益!$A$2:$Q$40,EX14,MATCH(FS$8,增益!$B$1:$Q$1,0)+1)*$AI14</f>
        <v>0</v>
      </c>
      <c r="FU14" s="2" cm="1">
        <f t="array" ref="FU14">INDEX(增益!$A$2:$Q$40,EX14,MATCH(FU$8,增益!$B$1:$Q$1,0)+1)*$AI14</f>
        <v>0</v>
      </c>
      <c r="FV14" s="2" cm="1">
        <f t="array" ref="FV14">INDEX(增益!$A$2:$Q$40,EX14,MATCH(FV$8,增益!$B$1:$Q$1,0)+1)*$AI14</f>
        <v>0</v>
      </c>
      <c r="FZ14" s="2" cm="1">
        <f t="array" ref="FZ14">INDEX(云配队!$J19:$AC19,1,FZ$1)</f>
        <v>0</v>
      </c>
      <c r="GA14" s="2">
        <f>IFERROR(MATCH(FZ14,增益!$A$2:$A$40,FALSE),1)</f>
        <v>1</v>
      </c>
      <c r="GB14" s="2" cm="1">
        <f t="array" ref="GB14">INDEX(增益!$A$2:$Q$40,GA14,MATCH(GB$8,增益!$B$1:$Q$1,0)+1)*$AI14</f>
        <v>0</v>
      </c>
      <c r="GC14" s="2" cm="1">
        <f t="array" ref="GC14">INDEX(增益!$A$2:$Q$40,GA14,MATCH(GC$8,增益!$B$1:$Q$1,0)+1)*$AI14</f>
        <v>0</v>
      </c>
      <c r="GD14" s="2" cm="1">
        <f t="array" ref="GD14">INDEX(增益!$A$2:$Q$40,GA14,MATCH(GD$8,增益!$B$1:$Q$1,0)+1)*$AI14</f>
        <v>0</v>
      </c>
      <c r="GE14" s="2" cm="1">
        <f t="array" ref="GE14">INDEX(增益!$A$2:$Q$40,GA14,MATCH(GE$8,增益!$B$1:$Q$1,0)+1)*$AI14</f>
        <v>0</v>
      </c>
      <c r="GF14" s="2" cm="1">
        <f t="array" ref="GF14">INDEX(增益!$A$2:$Q$40,GA14,MATCH(GF$8,增益!$B$1:$Q$1,0)+1)*$AI14</f>
        <v>0</v>
      </c>
      <c r="GG14" s="2" cm="1">
        <f t="array" ref="GG14">INDEX(增益!$A$2:$Q$40,GA14,MATCH(GG$8,增益!$B$1:$Q$1,0)+1)*$AI14</f>
        <v>0</v>
      </c>
      <c r="GH14" s="2" cm="1">
        <f t="array" ref="GH14">INDEX(增益!$A$2:$Q$40,GA14,MATCH(GH$8,增益!$B$1:$Q$1,0)+1)*$AI14</f>
        <v>0</v>
      </c>
      <c r="GI14" s="2" cm="1">
        <f t="array" ref="GI14">INDEX(增益!$A$2:$Q$40,GA14,MATCH(GI$8,增益!$B$1:$Q$1,0)+1)*$AI14</f>
        <v>0</v>
      </c>
      <c r="GJ14" s="2" cm="1">
        <f t="array" ref="GJ14">INDEX(增益!$A$2:$Q$40,GA14,MATCH(GJ$8,增益!$B$1:$Q$1,0)+1)*$AI14</f>
        <v>0</v>
      </c>
      <c r="GK14" s="2" cm="1">
        <f t="array" ref="GK14">INDEX(增益!$A$2:$Q$40,GA14,MATCH(GK$8,增益!$B$1:$Q$1,0)+1)*$AI14</f>
        <v>0</v>
      </c>
      <c r="GR14" s="2" cm="1">
        <f t="array" ref="GR14">INDEX(增益!$A$2:$Q$40,GA14,MATCH(GR$8,增益!$B$1:$Q$1,0)+1)*$AI14</f>
        <v>0</v>
      </c>
      <c r="GS14" s="2" cm="1">
        <f t="array" ref="GS14">INDEX(增益!$A$2:$Q$40,GA14,MATCH(GS$8,增益!$B$1:$Q$1,0)+1)*$AI14</f>
        <v>0</v>
      </c>
      <c r="GT14" s="2" cm="1">
        <f t="array" ref="GT14">INDEX(增益!$A$2:$Q$40,GA14,MATCH(GT$8,增益!$B$1:$Q$1,0)+1)*$AI14</f>
        <v>0</v>
      </c>
      <c r="GV14" s="2" cm="1">
        <f t="array" ref="GV14">INDEX(增益!$A$2:$Q$40,GA14,MATCH(GV$8,增益!$B$1:$Q$1,0)+1)*$AI14</f>
        <v>0</v>
      </c>
      <c r="GX14" s="2" cm="1">
        <f t="array" ref="GX14">INDEX(增益!$A$2:$Q$40,GA14,MATCH(GX$8,增益!$B$1:$Q$1,0)+1)*$AI14</f>
        <v>0</v>
      </c>
      <c r="GY14" s="2" cm="1">
        <f t="array" ref="GY14">INDEX(增益!$A$2:$Q$40,GA14,MATCH(GY$8,增益!$B$1:$Q$1,0)+1)*$AI14</f>
        <v>0</v>
      </c>
      <c r="HC14" s="2" cm="1">
        <f t="array" ref="HC14">INDEX(云配队!$J19:$AC19,1,HC$1)</f>
        <v>0</v>
      </c>
      <c r="HD14" s="2">
        <f>IFERROR(MATCH(HC14,增益!$A$2:$A$40,FALSE),1)</f>
        <v>1</v>
      </c>
      <c r="HE14" s="2" cm="1">
        <f t="array" ref="HE14">INDEX(增益!$A$2:$Q$40,HD14,MATCH(HE$8,增益!$B$1:$Q$1,0)+1)*$AI14</f>
        <v>0</v>
      </c>
      <c r="HF14" s="2" cm="1">
        <f t="array" ref="HF14">INDEX(增益!$A$2:$Q$40,HD14,MATCH(HF$8,增益!$B$1:$Q$1,0)+1)*$AI14</f>
        <v>0</v>
      </c>
      <c r="HG14" s="2" cm="1">
        <f t="array" ref="HG14">INDEX(增益!$A$2:$Q$40,HD14,MATCH(HG$8,增益!$B$1:$Q$1,0)+1)*$AI14</f>
        <v>0</v>
      </c>
      <c r="HH14" s="2" cm="1">
        <f t="array" ref="HH14">INDEX(增益!$A$2:$Q$40,HD14,MATCH(HH$8,增益!$B$1:$Q$1,0)+1)*$AI14</f>
        <v>0</v>
      </c>
      <c r="HI14" s="2" cm="1">
        <f t="array" ref="HI14">INDEX(增益!$A$2:$Q$40,HD14,MATCH(HI$8,增益!$B$1:$Q$1,0)+1)*$AI14</f>
        <v>0</v>
      </c>
      <c r="HJ14" s="2" cm="1">
        <f t="array" ref="HJ14">INDEX(增益!$A$2:$Q$40,HD14,MATCH(HJ$8,增益!$B$1:$Q$1,0)+1)*$AI14</f>
        <v>0</v>
      </c>
      <c r="HK14" s="2" cm="1">
        <f t="array" ref="HK14">INDEX(增益!$A$2:$Q$40,HD14,MATCH(HK$8,增益!$B$1:$Q$1,0)+1)*$AI14</f>
        <v>0</v>
      </c>
      <c r="HL14" s="2" cm="1">
        <f t="array" ref="HL14">INDEX(增益!$A$2:$Q$40,HD14,MATCH(HL$8,增益!$B$1:$Q$1,0)+1)*$AI14</f>
        <v>0</v>
      </c>
      <c r="HM14" s="2" cm="1">
        <f t="array" ref="HM14">INDEX(增益!$A$2:$Q$40,HD14,MATCH(HM$8,增益!$B$1:$Q$1,0)+1)*$AI14</f>
        <v>0</v>
      </c>
      <c r="HN14" s="2" cm="1">
        <f t="array" ref="HN14">INDEX(增益!$A$2:$Q$40,HD14,MATCH(HN$8,增益!$B$1:$Q$1,0)+1)*$AI14</f>
        <v>0</v>
      </c>
      <c r="HU14" s="2" cm="1">
        <f t="array" ref="HU14">INDEX(增益!$A$2:$Q$40,HD14,MATCH(HU$8,增益!$B$1:$Q$1,0)+1)*$AI14</f>
        <v>0</v>
      </c>
      <c r="HV14" s="2" cm="1">
        <f t="array" ref="HV14">INDEX(增益!$A$2:$Q$40,HD14,MATCH(HV$8,增益!$B$1:$Q$1,0)+1)*$AI14</f>
        <v>0</v>
      </c>
      <c r="HW14" s="2" cm="1">
        <f t="array" ref="HW14">INDEX(增益!$A$2:$Q$40,HD14,MATCH(HW$8,增益!$B$1:$Q$1,0)+1)*$AI14</f>
        <v>0</v>
      </c>
      <c r="HY14" s="2" cm="1">
        <f t="array" ref="HY14">INDEX(增益!$A$2:$Q$40,HD14,MATCH(HY$8,增益!$B$1:$Q$1,0)+1)*$AI14</f>
        <v>0</v>
      </c>
      <c r="IA14" s="2" cm="1">
        <f t="array" ref="IA14">INDEX(增益!$A$2:$Q$40,HD14,MATCH(IA$8,增益!$B$1:$Q$1,0)+1)*$AI14</f>
        <v>0</v>
      </c>
      <c r="IB14" s="2" cm="1">
        <f t="array" ref="IB14">INDEX(增益!$A$2:$Q$40,HD14,MATCH(IB$8,增益!$B$1:$Q$1,0)+1)*$AI14</f>
        <v>0</v>
      </c>
      <c r="IF14" s="2" cm="1">
        <f t="array" ref="IF14">INDEX(云配队!$J19:$AC19,1,IF$1)</f>
        <v>0</v>
      </c>
      <c r="IG14" s="2">
        <f>IFERROR(MATCH(IF14,增益!$A$2:$A$40,FALSE),1)</f>
        <v>1</v>
      </c>
      <c r="IH14" s="2" cm="1">
        <f t="array" ref="IH14">INDEX(增益!$A$2:$Q$40,IG14,MATCH(IH$8,增益!$B$1:$Q$1,0)+1)*$AI14</f>
        <v>0</v>
      </c>
      <c r="II14" s="2" cm="1">
        <f t="array" ref="II14">INDEX(增益!$A$2:$Q$40,IG14,MATCH(II$8,增益!$B$1:$Q$1,0)+1)*$AI14</f>
        <v>0</v>
      </c>
      <c r="IJ14" s="2" cm="1">
        <f t="array" ref="IJ14">INDEX(增益!$A$2:$Q$40,IG14,MATCH(IJ$8,增益!$B$1:$Q$1,0)+1)*$AI14</f>
        <v>0</v>
      </c>
      <c r="IK14" s="2" cm="1">
        <f t="array" ref="IK14">INDEX(增益!$A$2:$Q$40,IG14,MATCH(IK$8,增益!$B$1:$Q$1,0)+1)*$AI14</f>
        <v>0</v>
      </c>
      <c r="IL14" s="2" cm="1">
        <f t="array" ref="IL14">INDEX(增益!$A$2:$Q$40,IG14,MATCH(IL$8,增益!$B$1:$Q$1,0)+1)*$AI14</f>
        <v>0</v>
      </c>
      <c r="IM14" s="2" cm="1">
        <f t="array" ref="IM14">INDEX(增益!$A$2:$Q$40,IG14,MATCH(IM$8,增益!$B$1:$Q$1,0)+1)*$AI14</f>
        <v>0</v>
      </c>
      <c r="IN14" s="2" cm="1">
        <f t="array" ref="IN14">INDEX(增益!$A$2:$Q$40,IG14,MATCH(IN$8,增益!$B$1:$Q$1,0)+1)*$AI14</f>
        <v>0</v>
      </c>
      <c r="IO14" s="2" cm="1">
        <f t="array" ref="IO14">INDEX(增益!$A$2:$Q$40,IG14,MATCH(IO$8,增益!$B$1:$Q$1,0)+1)*$AI14</f>
        <v>0</v>
      </c>
      <c r="IP14" s="2" cm="1">
        <f t="array" ref="IP14">INDEX(增益!$A$2:$Q$40,IG14,MATCH(IP$8,增益!$B$1:$Q$1,0)+1)*$AI14</f>
        <v>0</v>
      </c>
      <c r="IQ14" s="2" cm="1">
        <f t="array" ref="IQ14">INDEX(增益!$A$2:$Q$40,IG14,MATCH(IQ$8,增益!$B$1:$Q$1,0)+1)*$AI14</f>
        <v>0</v>
      </c>
      <c r="IX14" s="2" cm="1">
        <f t="array" ref="IX14">INDEX(增益!$A$2:$Q$40,IG14,MATCH(IX$8,增益!$B$1:$Q$1,0)+1)*$AI14</f>
        <v>0</v>
      </c>
      <c r="IY14" s="2" cm="1">
        <f t="array" ref="IY14">INDEX(增益!$A$2:$Q$40,IG14,MATCH(IY$8,增益!$B$1:$Q$1,0)+1)*$AI14</f>
        <v>0</v>
      </c>
      <c r="IZ14" s="2" cm="1">
        <f t="array" ref="IZ14">INDEX(增益!$A$2:$Q$40,IG14,MATCH(IZ$8,增益!$B$1:$Q$1,0)+1)*$AI14</f>
        <v>0</v>
      </c>
      <c r="JB14" s="2" cm="1">
        <f t="array" ref="JB14">INDEX(增益!$A$2:$Q$40,IG14,MATCH(JB$8,增益!$B$1:$Q$1,0)+1)*$AI14</f>
        <v>0</v>
      </c>
      <c r="JD14" s="2" cm="1">
        <f t="array" ref="JD14">INDEX(增益!$A$2:$Q$40,IG14,MATCH(JD$8,增益!$B$1:$Q$1,0)+1)*$AI14</f>
        <v>0</v>
      </c>
      <c r="JE14" s="2" cm="1">
        <f t="array" ref="JE14">INDEX(增益!$A$2:$Q$40,IG14,MATCH(JE$8,增益!$B$1:$Q$1,0)+1)*$AI14</f>
        <v>0</v>
      </c>
      <c r="JI14" s="2" cm="1">
        <f t="array" ref="JI14">INDEX(云配队!$J19:$AC19,1,JI$1)</f>
        <v>0</v>
      </c>
      <c r="JJ14" s="2">
        <f>IFERROR(MATCH(JI14,增益!$A$2:$A$40,FALSE),1)</f>
        <v>1</v>
      </c>
      <c r="JK14" s="2" cm="1">
        <f t="array" ref="JK14">INDEX(增益!$A$2:$Q$40,JJ14,MATCH(JK$8,增益!$B$1:$Q$1,0)+1)*$AI14</f>
        <v>0</v>
      </c>
      <c r="JL14" s="2" cm="1">
        <f t="array" ref="JL14">INDEX(增益!$A$2:$Q$40,JJ14,MATCH(JL$8,增益!$B$1:$Q$1,0)+1)*$AI14</f>
        <v>0</v>
      </c>
      <c r="JM14" s="2" cm="1">
        <f t="array" ref="JM14">INDEX(增益!$A$2:$Q$40,JJ14,MATCH(JM$8,增益!$B$1:$Q$1,0)+1)*$AI14</f>
        <v>0</v>
      </c>
      <c r="JN14" s="2" cm="1">
        <f t="array" ref="JN14">INDEX(增益!$A$2:$Q$40,JJ14,MATCH(JN$8,增益!$B$1:$Q$1,0)+1)*$AI14</f>
        <v>0</v>
      </c>
      <c r="JO14" s="2" cm="1">
        <f t="array" ref="JO14">INDEX(增益!$A$2:$Q$40,JJ14,MATCH(JO$8,增益!$B$1:$Q$1,0)+1)*$AI14</f>
        <v>0</v>
      </c>
      <c r="JP14" s="2" cm="1">
        <f t="array" ref="JP14">INDEX(增益!$A$2:$Q$40,JJ14,MATCH(JP$8,增益!$B$1:$Q$1,0)+1)*$AI14</f>
        <v>0</v>
      </c>
      <c r="JQ14" s="2" cm="1">
        <f t="array" ref="JQ14">INDEX(增益!$A$2:$Q$40,JJ14,MATCH(JQ$8,增益!$B$1:$Q$1,0)+1)*$AI14</f>
        <v>0</v>
      </c>
      <c r="JR14" s="2" cm="1">
        <f t="array" ref="JR14">INDEX(增益!$A$2:$Q$40,JJ14,MATCH(JR$8,增益!$B$1:$Q$1,0)+1)*$AI14</f>
        <v>0</v>
      </c>
      <c r="JS14" s="2" cm="1">
        <f t="array" ref="JS14">INDEX(增益!$A$2:$Q$40,JJ14,MATCH(JS$8,增益!$B$1:$Q$1,0)+1)*$AI14</f>
        <v>0</v>
      </c>
      <c r="JT14" s="2" cm="1">
        <f t="array" ref="JT14">INDEX(增益!$A$2:$Q$40,JJ14,MATCH(JT$8,增益!$B$1:$Q$1,0)+1)*$AI14</f>
        <v>0</v>
      </c>
      <c r="KA14" s="2" cm="1">
        <f t="array" ref="KA14">INDEX(增益!$A$2:$Q$40,JJ14,MATCH(KA$8,增益!$B$1:$Q$1,0)+1)*$AI14</f>
        <v>0</v>
      </c>
      <c r="KB14" s="2" cm="1">
        <f t="array" ref="KB14">INDEX(增益!$A$2:$Q$40,JJ14,MATCH(KB$8,增益!$B$1:$Q$1,0)+1)*$AI14</f>
        <v>0</v>
      </c>
      <c r="KC14" s="2" cm="1">
        <f t="array" ref="KC14">INDEX(增益!$A$2:$Q$40,JJ14,MATCH(KC$8,增益!$B$1:$Q$1,0)+1)*$AI14</f>
        <v>0</v>
      </c>
      <c r="KE14" s="2" cm="1">
        <f t="array" ref="KE14">INDEX(增益!$A$2:$Q$40,JJ14,MATCH(KE$8,增益!$B$1:$Q$1,0)+1)*$AI14</f>
        <v>0</v>
      </c>
      <c r="KG14" s="2" cm="1">
        <f t="array" ref="KG14">INDEX(增益!$A$2:$Q$40,JJ14,MATCH(KG$8,增益!$B$1:$Q$1,0)+1)*$AI14</f>
        <v>0</v>
      </c>
      <c r="KH14" s="2" cm="1">
        <f t="array" ref="KH14">INDEX(增益!$A$2:$Q$40,JJ14,MATCH(KH$8,增益!$B$1:$Q$1,0)+1)*$AI14</f>
        <v>0</v>
      </c>
      <c r="KL14" s="2" cm="1">
        <f t="array" ref="KL14">INDEX(云配队!$J19:$AC19,1,KL$1)</f>
        <v>0</v>
      </c>
      <c r="KM14" s="2">
        <f>IFERROR(MATCH(KL14,增益!$A$2:$A$40,FALSE),1)</f>
        <v>1</v>
      </c>
      <c r="KN14" s="2" cm="1">
        <f t="array" ref="KN14">INDEX(增益!$A$2:$Q$40,KM14,MATCH(KN$8,增益!$B$1:$Q$1,0)+1)*$AI14</f>
        <v>0</v>
      </c>
      <c r="KO14" s="2" cm="1">
        <f t="array" ref="KO14">INDEX(增益!$A$2:$Q$40,KM14,MATCH(KO$8,增益!$B$1:$Q$1,0)+1)*$AI14</f>
        <v>0</v>
      </c>
      <c r="KP14" s="2" cm="1">
        <f t="array" ref="KP14">INDEX(增益!$A$2:$Q$40,KM14,MATCH(KP$8,增益!$B$1:$Q$1,0)+1)*$AI14</f>
        <v>0</v>
      </c>
      <c r="KQ14" s="2" cm="1">
        <f t="array" ref="KQ14">INDEX(增益!$A$2:$Q$40,KM14,MATCH(KQ$8,增益!$B$1:$Q$1,0)+1)*$AI14</f>
        <v>0</v>
      </c>
      <c r="KR14" s="2" cm="1">
        <f t="array" ref="KR14">INDEX(增益!$A$2:$Q$40,KM14,MATCH(KR$8,增益!$B$1:$Q$1,0)+1)*$AI14</f>
        <v>0</v>
      </c>
      <c r="KS14" s="2" cm="1">
        <f t="array" ref="KS14">INDEX(增益!$A$2:$Q$40,KM14,MATCH(KS$8,增益!$B$1:$Q$1,0)+1)*$AI14</f>
        <v>0</v>
      </c>
      <c r="KT14" s="2" cm="1">
        <f t="array" ref="KT14">INDEX(增益!$A$2:$Q$40,KM14,MATCH(KT$8,增益!$B$1:$Q$1,0)+1)*$AI14</f>
        <v>0</v>
      </c>
      <c r="KU14" s="2" cm="1">
        <f t="array" ref="KU14">INDEX(增益!$A$2:$Q$40,KM14,MATCH(KU$8,增益!$B$1:$Q$1,0)+1)*$AI14</f>
        <v>0</v>
      </c>
      <c r="KV14" s="2" cm="1">
        <f t="array" ref="KV14">INDEX(增益!$A$2:$Q$40,KM14,MATCH(KV$8,增益!$B$1:$Q$1,0)+1)*$AI14</f>
        <v>0</v>
      </c>
      <c r="KW14" s="2" cm="1">
        <f t="array" ref="KW14">INDEX(增益!$A$2:$Q$40,KM14,MATCH(KW$8,增益!$B$1:$Q$1,0)+1)*$AI14</f>
        <v>0</v>
      </c>
      <c r="LD14" s="2" cm="1">
        <f t="array" ref="LD14">INDEX(增益!$A$2:$Q$40,KM14,MATCH(LD$8,增益!$B$1:$Q$1,0)+1)*$AI14</f>
        <v>0</v>
      </c>
      <c r="LE14" s="2" cm="1">
        <f t="array" ref="LE14">INDEX(增益!$A$2:$Q$40,KM14,MATCH(LE$8,增益!$B$1:$Q$1,0)+1)*$AI14</f>
        <v>0</v>
      </c>
      <c r="LF14" s="2" cm="1">
        <f t="array" ref="LF14">INDEX(增益!$A$2:$Q$40,KM14,MATCH(LF$8,增益!$B$1:$Q$1,0)+1)*$AI14</f>
        <v>0</v>
      </c>
      <c r="LH14" s="2" cm="1">
        <f t="array" ref="LH14">INDEX(增益!$A$2:$Q$40,KM14,MATCH(LH$8,增益!$B$1:$Q$1,0)+1)*$AI14</f>
        <v>0</v>
      </c>
      <c r="LJ14" s="2" cm="1">
        <f t="array" ref="LJ14">INDEX(增益!$A$2:$Q$40,KM14,MATCH(LJ$8,增益!$B$1:$Q$1,0)+1)*$AI14</f>
        <v>0</v>
      </c>
      <c r="LK14" s="2" cm="1">
        <f t="array" ref="LK14">INDEX(增益!$A$2:$Q$40,KM14,MATCH(LK$8,增益!$B$1:$Q$1,0)+1)*$AI14</f>
        <v>0</v>
      </c>
      <c r="LO14" s="2" cm="1">
        <f t="array" ref="LO14">INDEX(云配队!$J19:$AC19,1,LO$1)</f>
        <v>0</v>
      </c>
      <c r="LP14" s="2">
        <f>IFERROR(MATCH(LO14,增益!$A$2:$A$40,FALSE),1)</f>
        <v>1</v>
      </c>
      <c r="LQ14" s="2" cm="1">
        <f t="array" ref="LQ14">INDEX(增益!$A$2:$Q$40,LP14,MATCH(LQ$8,增益!$B$1:$Q$1,0)+1)*$AI14</f>
        <v>0</v>
      </c>
      <c r="LR14" s="2" cm="1">
        <f t="array" ref="LR14">INDEX(增益!$A$2:$Q$40,LP14,MATCH(LR$8,增益!$B$1:$Q$1,0)+1)*$AI14</f>
        <v>0</v>
      </c>
      <c r="LS14" s="2" cm="1">
        <f t="array" ref="LS14">INDEX(增益!$A$2:$Q$40,LP14,MATCH(LS$8,增益!$B$1:$Q$1,0)+1)*$AI14</f>
        <v>0</v>
      </c>
      <c r="LT14" s="2" cm="1">
        <f t="array" ref="LT14">INDEX(增益!$A$2:$Q$40,LP14,MATCH(LT$8,增益!$B$1:$Q$1,0)+1)*$AI14</f>
        <v>0</v>
      </c>
      <c r="LU14" s="2" cm="1">
        <f t="array" ref="LU14">INDEX(增益!$A$2:$Q$40,LP14,MATCH(LU$8,增益!$B$1:$Q$1,0)+1)*$AI14</f>
        <v>0</v>
      </c>
      <c r="LV14" s="2" cm="1">
        <f t="array" ref="LV14">INDEX(增益!$A$2:$Q$40,LP14,MATCH(LV$8,增益!$B$1:$Q$1,0)+1)*$AI14</f>
        <v>0</v>
      </c>
      <c r="LW14" s="2" cm="1">
        <f t="array" ref="LW14">INDEX(增益!$A$2:$Q$40,LP14,MATCH(LW$8,增益!$B$1:$Q$1,0)+1)*$AI14</f>
        <v>0</v>
      </c>
      <c r="LX14" s="2" cm="1">
        <f t="array" ref="LX14">INDEX(增益!$A$2:$Q$40,LP14,MATCH(LX$8,增益!$B$1:$Q$1,0)+1)*$AI14</f>
        <v>0</v>
      </c>
      <c r="LY14" s="2" cm="1">
        <f t="array" ref="LY14">INDEX(增益!$A$2:$Q$40,LP14,MATCH(LY$8,增益!$B$1:$Q$1,0)+1)*$AI14</f>
        <v>0</v>
      </c>
      <c r="LZ14" s="2" cm="1">
        <f t="array" ref="LZ14">INDEX(增益!$A$2:$Q$40,LP14,MATCH(LZ$8,增益!$B$1:$Q$1,0)+1)*$AI14</f>
        <v>0</v>
      </c>
      <c r="MG14" s="2" cm="1">
        <f t="array" ref="MG14">INDEX(增益!$A$2:$Q$40,LP14,MATCH(MG$8,增益!$B$1:$Q$1,0)+1)*$AI14</f>
        <v>0</v>
      </c>
      <c r="MH14" s="2" cm="1">
        <f t="array" ref="MH14">INDEX(增益!$A$2:$Q$40,LP14,MATCH(MH$8,增益!$B$1:$Q$1,0)+1)*$AI14</f>
        <v>0</v>
      </c>
      <c r="MI14" s="2" cm="1">
        <f t="array" ref="MI14">INDEX(增益!$A$2:$Q$40,LP14,MATCH(MI$8,增益!$B$1:$Q$1,0)+1)*$AI14</f>
        <v>0</v>
      </c>
      <c r="MK14" s="2" cm="1">
        <f t="array" ref="MK14">INDEX(增益!$A$2:$Q$40,LP14,MATCH(MK$8,增益!$B$1:$Q$1,0)+1)*$AI14</f>
        <v>0</v>
      </c>
      <c r="MM14" s="2" cm="1">
        <f t="array" ref="MM14">INDEX(增益!$A$2:$Q$40,LP14,MATCH(MM$8,增益!$B$1:$Q$1,0)+1)*$AI14</f>
        <v>0</v>
      </c>
      <c r="MN14" s="2" cm="1">
        <f t="array" ref="MN14">INDEX(增益!$A$2:$Q$40,LP14,MATCH(MN$8,增益!$B$1:$Q$1,0)+1)*$AI14</f>
        <v>0</v>
      </c>
      <c r="MR14" s="2" cm="1">
        <f t="array" ref="MR14">INDEX(云配队!$J19:$AC19,1,MR$1)</f>
        <v>0</v>
      </c>
      <c r="MS14" s="2">
        <f>IFERROR(MATCH(MR14,增益!$A$2:$A$40,FALSE),1)</f>
        <v>1</v>
      </c>
      <c r="MT14" s="2" cm="1">
        <f t="array" ref="MT14">INDEX(增益!$A$2:$Q$40,MS14,MATCH(MT$8,增益!$B$1:$Q$1,0)+1)*$AI14</f>
        <v>0</v>
      </c>
      <c r="MU14" s="2" cm="1">
        <f t="array" ref="MU14">INDEX(增益!$A$2:$Q$40,MS14,MATCH(MU$8,增益!$B$1:$Q$1,0)+1)*$AI14</f>
        <v>0</v>
      </c>
      <c r="MV14" s="2" cm="1">
        <f t="array" ref="MV14">INDEX(增益!$A$2:$Q$40,MS14,MATCH(MV$8,增益!$B$1:$Q$1,0)+1)*$AI14</f>
        <v>0</v>
      </c>
      <c r="MW14" s="2" cm="1">
        <f t="array" ref="MW14">INDEX(增益!$A$2:$Q$40,MS14,MATCH(MW$8,增益!$B$1:$Q$1,0)+1)*$AI14</f>
        <v>0</v>
      </c>
      <c r="MX14" s="2" cm="1">
        <f t="array" ref="MX14">INDEX(增益!$A$2:$Q$40,MS14,MATCH(MX$8,增益!$B$1:$Q$1,0)+1)*$AI14</f>
        <v>0</v>
      </c>
      <c r="MY14" s="2" cm="1">
        <f t="array" ref="MY14">INDEX(增益!$A$2:$Q$40,MS14,MATCH(MY$8,增益!$B$1:$Q$1,0)+1)*$AI14</f>
        <v>0</v>
      </c>
      <c r="MZ14" s="2" cm="1">
        <f t="array" ref="MZ14">INDEX(增益!$A$2:$Q$40,MS14,MATCH(MZ$8,增益!$B$1:$Q$1,0)+1)*$AI14</f>
        <v>0</v>
      </c>
      <c r="NA14" s="2" cm="1">
        <f t="array" ref="NA14">INDEX(增益!$A$2:$Q$40,MS14,MATCH(NA$8,增益!$B$1:$Q$1,0)+1)*$AI14</f>
        <v>0</v>
      </c>
      <c r="NB14" s="2" cm="1">
        <f t="array" ref="NB14">INDEX(增益!$A$2:$Q$40,MS14,MATCH(NB$8,增益!$B$1:$Q$1,0)+1)*$AI14</f>
        <v>0</v>
      </c>
      <c r="NC14" s="2" cm="1">
        <f t="array" ref="NC14">INDEX(增益!$A$2:$Q$40,MS14,MATCH(NC$8,增益!$B$1:$Q$1,0)+1)*$AI14</f>
        <v>0</v>
      </c>
      <c r="NJ14" s="2" cm="1">
        <f t="array" ref="NJ14">INDEX(增益!$A$2:$Q$40,MS14,MATCH(NJ$8,增益!$B$1:$Q$1,0)+1)*$AI14</f>
        <v>0</v>
      </c>
      <c r="NK14" s="2" cm="1">
        <f t="array" ref="NK14">INDEX(增益!$A$2:$Q$40,MS14,MATCH(NK$8,增益!$B$1:$Q$1,0)+1)*$AI14</f>
        <v>0</v>
      </c>
      <c r="NL14" s="2" cm="1">
        <f t="array" ref="NL14">INDEX(增益!$A$2:$Q$40,MS14,MATCH(NL$8,增益!$B$1:$Q$1,0)+1)*$AI14</f>
        <v>0</v>
      </c>
      <c r="NN14" s="2" cm="1">
        <f t="array" ref="NN14">INDEX(增益!$A$2:$Q$40,MS14,MATCH(NN$8,增益!$B$1:$Q$1,0)+1)*$AI14</f>
        <v>0</v>
      </c>
      <c r="NP14" s="2" cm="1">
        <f t="array" ref="NP14">INDEX(增益!$A$2:$Q$40,MS14,MATCH(NP$8,增益!$B$1:$Q$1,0)+1)*$AI14</f>
        <v>0</v>
      </c>
      <c r="NQ14" s="2" cm="1">
        <f t="array" ref="NQ14">INDEX(增益!$A$2:$Q$40,MS14,MATCH(NQ$8,增益!$B$1:$Q$1,0)+1)*$AI14</f>
        <v>0</v>
      </c>
      <c r="NU14" s="2" cm="1">
        <f t="array" ref="NU14">INDEX(云配队!$J19:$AC19,1,NU$1)</f>
        <v>0</v>
      </c>
      <c r="NV14" s="2">
        <f>IFERROR(MATCH(NU14,增益!$A$2:$A$40,FALSE),1)</f>
        <v>1</v>
      </c>
      <c r="NW14" s="2" cm="1">
        <f t="array" ref="NW14">INDEX(增益!$A$2:$Q$40,NV14,MATCH(NW$8,增益!$B$1:$Q$1,0)+1)*$AI14</f>
        <v>0</v>
      </c>
      <c r="NX14" s="2" cm="1">
        <f t="array" ref="NX14">INDEX(增益!$A$2:$Q$40,NV14,MATCH(NX$8,增益!$B$1:$Q$1,0)+1)*$AI14</f>
        <v>0</v>
      </c>
      <c r="NY14" s="2" cm="1">
        <f t="array" ref="NY14">INDEX(增益!$A$2:$Q$40,NV14,MATCH(NY$8,增益!$B$1:$Q$1,0)+1)*$AI14</f>
        <v>0</v>
      </c>
      <c r="NZ14" s="2" cm="1">
        <f t="array" ref="NZ14">INDEX(增益!$A$2:$Q$40,NV14,MATCH(NZ$8,增益!$B$1:$Q$1,0)+1)*$AI14</f>
        <v>0</v>
      </c>
      <c r="OA14" s="2" cm="1">
        <f t="array" ref="OA14">INDEX(增益!$A$2:$Q$40,NV14,MATCH(OA$8,增益!$B$1:$Q$1,0)+1)*$AI14</f>
        <v>0</v>
      </c>
      <c r="OB14" s="2" cm="1">
        <f t="array" ref="OB14">INDEX(增益!$A$2:$Q$40,NV14,MATCH(OB$8,增益!$B$1:$Q$1,0)+1)*$AI14</f>
        <v>0</v>
      </c>
      <c r="OC14" s="2" cm="1">
        <f t="array" ref="OC14">INDEX(增益!$A$2:$Q$40,NV14,MATCH(OC$8,增益!$B$1:$Q$1,0)+1)*$AI14</f>
        <v>0</v>
      </c>
      <c r="OD14" s="2" cm="1">
        <f t="array" ref="OD14">INDEX(增益!$A$2:$Q$40,NV14,MATCH(OD$8,增益!$B$1:$Q$1,0)+1)*$AI14</f>
        <v>0</v>
      </c>
      <c r="OE14" s="2" cm="1">
        <f t="array" ref="OE14">INDEX(增益!$A$2:$Q$40,NV14,MATCH(OE$8,增益!$B$1:$Q$1,0)+1)*$AI14</f>
        <v>0</v>
      </c>
      <c r="OF14" s="2" cm="1">
        <f t="array" ref="OF14">INDEX(增益!$A$2:$Q$40,NV14,MATCH(OF$8,增益!$B$1:$Q$1,0)+1)*$AI14</f>
        <v>0</v>
      </c>
      <c r="OM14" s="2" cm="1">
        <f t="array" ref="OM14">INDEX(增益!$A$2:$Q$40,NV14,MATCH(OM$8,增益!$B$1:$Q$1,0)+1)*$AI14</f>
        <v>0</v>
      </c>
      <c r="ON14" s="2" cm="1">
        <f t="array" ref="ON14">INDEX(增益!$A$2:$Q$40,NV14,MATCH(ON$8,增益!$B$1:$Q$1,0)+1)*$AI14</f>
        <v>0</v>
      </c>
      <c r="OO14" s="2" cm="1">
        <f t="array" ref="OO14">INDEX(增益!$A$2:$Q$40,NV14,MATCH(OO$8,增益!$B$1:$Q$1,0)+1)*$AI14</f>
        <v>0</v>
      </c>
      <c r="OQ14" s="2" cm="1">
        <f t="array" ref="OQ14">INDEX(增益!$A$2:$Q$40,NV14,MATCH(OQ$8,增益!$B$1:$Q$1,0)+1)*$AI14</f>
        <v>0</v>
      </c>
      <c r="OS14" s="2" cm="1">
        <f t="array" ref="OS14">INDEX(增益!$A$2:$Q$40,NV14,MATCH(OS$8,增益!$B$1:$Q$1,0)+1)*$AI14</f>
        <v>0</v>
      </c>
      <c r="OT14" s="2" cm="1">
        <f t="array" ref="OT14">INDEX(增益!$A$2:$Q$40,NV14,MATCH(OT$8,增益!$B$1:$Q$1,0)+1)*$AI14</f>
        <v>0</v>
      </c>
      <c r="OX14" s="2" cm="1">
        <f t="array" ref="OX14">INDEX(云配队!$J19:$AC19,1,OX$1)</f>
        <v>0</v>
      </c>
      <c r="OY14" s="2">
        <f>IFERROR(MATCH(OX14,增益!$A$2:$A$40,FALSE),1)</f>
        <v>1</v>
      </c>
      <c r="OZ14" s="2" cm="1">
        <f t="array" ref="OZ14">INDEX(增益!$A$2:$Q$40,OY14,MATCH(OZ$8,增益!$B$1:$Q$1,0)+1)*$AI14</f>
        <v>0</v>
      </c>
      <c r="PA14" s="2" cm="1">
        <f t="array" ref="PA14">INDEX(增益!$A$2:$Q$40,OY14,MATCH(PA$8,增益!$B$1:$Q$1,0)+1)*$AI14</f>
        <v>0</v>
      </c>
      <c r="PB14" s="2" cm="1">
        <f t="array" ref="PB14">INDEX(增益!$A$2:$Q$40,OY14,MATCH(PB$8,增益!$B$1:$Q$1,0)+1)*$AI14</f>
        <v>0</v>
      </c>
      <c r="PC14" s="2" cm="1">
        <f t="array" ref="PC14">INDEX(增益!$A$2:$Q$40,OY14,MATCH(PC$8,增益!$B$1:$Q$1,0)+1)*$AI14</f>
        <v>0</v>
      </c>
      <c r="PD14" s="2" cm="1">
        <f t="array" ref="PD14">INDEX(增益!$A$2:$Q$40,OY14,MATCH(PD$8,增益!$B$1:$Q$1,0)+1)*$AI14</f>
        <v>0</v>
      </c>
      <c r="PE14" s="2" cm="1">
        <f t="array" ref="PE14">INDEX(增益!$A$2:$Q$40,OY14,MATCH(PE$8,增益!$B$1:$Q$1,0)+1)*$AI14</f>
        <v>0</v>
      </c>
      <c r="PF14" s="2" cm="1">
        <f t="array" ref="PF14">INDEX(增益!$A$2:$Q$40,OY14,MATCH(PF$8,增益!$B$1:$Q$1,0)+1)*$AI14</f>
        <v>0</v>
      </c>
      <c r="PG14" s="2" cm="1">
        <f t="array" ref="PG14">INDEX(增益!$A$2:$Q$40,OY14,MATCH(PG$8,增益!$B$1:$Q$1,0)+1)*$AI14</f>
        <v>0</v>
      </c>
      <c r="PH14" s="2" cm="1">
        <f t="array" ref="PH14">INDEX(增益!$A$2:$Q$40,OY14,MATCH(PH$8,增益!$B$1:$Q$1,0)+1)*$AI14</f>
        <v>0</v>
      </c>
      <c r="PI14" s="2" cm="1">
        <f t="array" ref="PI14">INDEX(增益!$A$2:$Q$40,OY14,MATCH(PI$8,增益!$B$1:$Q$1,0)+1)*$AI14</f>
        <v>0</v>
      </c>
      <c r="PP14" s="2" cm="1">
        <f t="array" ref="PP14">INDEX(增益!$A$2:$Q$40,OY14,MATCH(PP$8,增益!$B$1:$Q$1,0)+1)*$AI14</f>
        <v>0</v>
      </c>
      <c r="PQ14" s="2" cm="1">
        <f t="array" ref="PQ14">INDEX(增益!$A$2:$Q$40,OY14,MATCH(PQ$8,增益!$B$1:$Q$1,0)+1)*$AI14</f>
        <v>0</v>
      </c>
      <c r="PR14" s="2" cm="1">
        <f t="array" ref="PR14">INDEX(增益!$A$2:$Q$40,OY14,MATCH(PR$8,增益!$B$1:$Q$1,0)+1)*$AI14</f>
        <v>0</v>
      </c>
      <c r="PT14" s="2" cm="1">
        <f t="array" ref="PT14">INDEX(增益!$A$2:$Q$40,OY14,MATCH(PT$8,增益!$B$1:$Q$1,0)+1)*$AI14</f>
        <v>0</v>
      </c>
      <c r="PV14" s="2" cm="1">
        <f t="array" ref="PV14">INDEX(增益!$A$2:$Q$40,OY14,MATCH(PV$8,增益!$B$1:$Q$1,0)+1)*$AI14</f>
        <v>0</v>
      </c>
      <c r="PW14" s="2" cm="1">
        <f t="array" ref="PW14">INDEX(增益!$A$2:$Q$40,OY14,MATCH(PW$8,增益!$B$1:$Q$1,0)+1)*$AI14</f>
        <v>0</v>
      </c>
      <c r="QA14" s="2" cm="1">
        <f t="array" ref="QA14">INDEX(云配队!$J19:$AC19,1,QA$1)</f>
        <v>0</v>
      </c>
      <c r="QB14" s="2">
        <f>IFERROR(MATCH(QA14,增益!$A$2:$A$40,FALSE),1)</f>
        <v>1</v>
      </c>
      <c r="QC14" s="2" cm="1">
        <f t="array" ref="QC14">INDEX(增益!$A$2:$Q$40,QB14,MATCH(QC$8,增益!$B$1:$Q$1,0)+1)*$AI14</f>
        <v>0</v>
      </c>
      <c r="QD14" s="2" cm="1">
        <f t="array" ref="QD14">INDEX(增益!$A$2:$Q$40,QB14,MATCH(QD$8,增益!$B$1:$Q$1,0)+1)*$AI14</f>
        <v>0</v>
      </c>
      <c r="QE14" s="2" cm="1">
        <f t="array" ref="QE14">INDEX(增益!$A$2:$Q$40,QB14,MATCH(QE$8,增益!$B$1:$Q$1,0)+1)*$AI14</f>
        <v>0</v>
      </c>
      <c r="QF14" s="2" cm="1">
        <f t="array" ref="QF14">INDEX(增益!$A$2:$Q$40,QB14,MATCH(QF$8,增益!$B$1:$Q$1,0)+1)*$AI14</f>
        <v>0</v>
      </c>
      <c r="QG14" s="2" cm="1">
        <f t="array" ref="QG14">INDEX(增益!$A$2:$Q$40,QB14,MATCH(QG$8,增益!$B$1:$Q$1,0)+1)*$AI14</f>
        <v>0</v>
      </c>
      <c r="QH14" s="2" cm="1">
        <f t="array" ref="QH14">INDEX(增益!$A$2:$Q$40,QB14,MATCH(QH$8,增益!$B$1:$Q$1,0)+1)*$AI14</f>
        <v>0</v>
      </c>
      <c r="QI14" s="2" cm="1">
        <f t="array" ref="QI14">INDEX(增益!$A$2:$Q$40,QB14,MATCH(QI$8,增益!$B$1:$Q$1,0)+1)*$AI14</f>
        <v>0</v>
      </c>
      <c r="QJ14" s="2" cm="1">
        <f t="array" ref="QJ14">INDEX(增益!$A$2:$Q$40,QB14,MATCH(QJ$8,增益!$B$1:$Q$1,0)+1)*$AI14</f>
        <v>0</v>
      </c>
      <c r="QK14" s="2" cm="1">
        <f t="array" ref="QK14">INDEX(增益!$A$2:$Q$40,QB14,MATCH(QK$8,增益!$B$1:$Q$1,0)+1)*$AI14</f>
        <v>0</v>
      </c>
      <c r="QL14" s="2" cm="1">
        <f t="array" ref="QL14">INDEX(增益!$A$2:$Q$40,QB14,MATCH(QL$8,增益!$B$1:$Q$1,0)+1)*$AI14</f>
        <v>0</v>
      </c>
      <c r="QS14" s="2" cm="1">
        <f t="array" ref="QS14">INDEX(增益!$A$2:$Q$40,QB14,MATCH(QS$8,增益!$B$1:$Q$1,0)+1)*$AI14</f>
        <v>0</v>
      </c>
      <c r="QT14" s="2" cm="1">
        <f t="array" ref="QT14">INDEX(增益!$A$2:$Q$40,QB14,MATCH(QT$8,增益!$B$1:$Q$1,0)+1)*$AI14</f>
        <v>0</v>
      </c>
      <c r="QU14" s="2" cm="1">
        <f t="array" ref="QU14">INDEX(增益!$A$2:$Q$40,QB14,MATCH(QU$8,增益!$B$1:$Q$1,0)+1)*$AI14</f>
        <v>0</v>
      </c>
      <c r="QW14" s="2" cm="1">
        <f t="array" ref="QW14">INDEX(增益!$A$2:$Q$40,QB14,MATCH(QW$8,增益!$B$1:$Q$1,0)+1)*$AI14</f>
        <v>0</v>
      </c>
      <c r="QY14" s="2" cm="1">
        <f t="array" ref="QY14">INDEX(增益!$A$2:$Q$40,QB14,MATCH(QY$8,增益!$B$1:$Q$1,0)+1)*$AI14</f>
        <v>0</v>
      </c>
      <c r="QZ14" s="2" cm="1">
        <f t="array" ref="QZ14">INDEX(增益!$A$2:$Q$40,QB14,MATCH(QZ$8,增益!$B$1:$Q$1,0)+1)*$AI14</f>
        <v>0</v>
      </c>
      <c r="RD14" s="2" cm="1">
        <f t="array" ref="RD14">INDEX(云配队!$J19:$AC19,1,RD$1)</f>
        <v>0</v>
      </c>
      <c r="RE14" s="2">
        <f>IFERROR(MATCH(RD14,增益!$A$2:$A$40,FALSE),1)</f>
        <v>1</v>
      </c>
      <c r="RF14" s="2" cm="1">
        <f t="array" ref="RF14">INDEX(增益!$A$2:$Q$40,RE14,MATCH(RF$8,增益!$B$1:$Q$1,0)+1)*$AI14</f>
        <v>0</v>
      </c>
      <c r="RG14" s="2" cm="1">
        <f t="array" ref="RG14">INDEX(增益!$A$2:$Q$40,RE14,MATCH(RG$8,增益!$B$1:$Q$1,0)+1)*$AI14</f>
        <v>0</v>
      </c>
      <c r="RH14" s="2" cm="1">
        <f t="array" ref="RH14">INDEX(增益!$A$2:$Q$40,RE14,MATCH(RH$8,增益!$B$1:$Q$1,0)+1)*$AI14</f>
        <v>0</v>
      </c>
      <c r="RI14" s="2" cm="1">
        <f t="array" ref="RI14">INDEX(增益!$A$2:$Q$40,RE14,MATCH(RI$8,增益!$B$1:$Q$1,0)+1)*$AI14</f>
        <v>0</v>
      </c>
      <c r="RJ14" s="2" cm="1">
        <f t="array" ref="RJ14">INDEX(增益!$A$2:$Q$40,RE14,MATCH(RJ$8,增益!$B$1:$Q$1,0)+1)*$AI14</f>
        <v>0</v>
      </c>
      <c r="RK14" s="2" cm="1">
        <f t="array" ref="RK14">INDEX(增益!$A$2:$Q$40,RE14,MATCH(RK$8,增益!$B$1:$Q$1,0)+1)*$AI14</f>
        <v>0</v>
      </c>
      <c r="RL14" s="2" cm="1">
        <f t="array" ref="RL14">INDEX(增益!$A$2:$Q$40,RE14,MATCH(RL$8,增益!$B$1:$Q$1,0)+1)*$AI14</f>
        <v>0</v>
      </c>
      <c r="RM14" s="2" cm="1">
        <f t="array" ref="RM14">INDEX(增益!$A$2:$Q$40,RE14,MATCH(RM$8,增益!$B$1:$Q$1,0)+1)*$AI14</f>
        <v>0</v>
      </c>
      <c r="RN14" s="2" cm="1">
        <f t="array" ref="RN14">INDEX(增益!$A$2:$Q$40,RE14,MATCH(RN$8,增益!$B$1:$Q$1,0)+1)*$AI14</f>
        <v>0</v>
      </c>
      <c r="RO14" s="2" cm="1">
        <f t="array" ref="RO14">INDEX(增益!$A$2:$Q$40,RE14,MATCH(RO$8,增益!$B$1:$Q$1,0)+1)*$AI14</f>
        <v>0</v>
      </c>
      <c r="RV14" s="2" cm="1">
        <f t="array" ref="RV14">INDEX(增益!$A$2:$Q$40,RE14,MATCH(RV$8,增益!$B$1:$Q$1,0)+1)*$AI14</f>
        <v>0</v>
      </c>
      <c r="RW14" s="2" cm="1">
        <f t="array" ref="RW14">INDEX(增益!$A$2:$Q$40,RE14,MATCH(RW$8,增益!$B$1:$Q$1,0)+1)*$AI14</f>
        <v>0</v>
      </c>
      <c r="RX14" s="2" cm="1">
        <f t="array" ref="RX14">INDEX(增益!$A$2:$Q$40,RE14,MATCH(RX$8,增益!$B$1:$Q$1,0)+1)*$AI14</f>
        <v>0</v>
      </c>
      <c r="RZ14" s="2" cm="1">
        <f t="array" ref="RZ14">INDEX(增益!$A$2:$Q$40,RE14,MATCH(RZ$8,增益!$B$1:$Q$1,0)+1)*$AI14</f>
        <v>0</v>
      </c>
      <c r="SB14" s="2" cm="1">
        <f t="array" ref="SB14">INDEX(增益!$A$2:$Q$40,RE14,MATCH(SB$8,增益!$B$1:$Q$1,0)+1)*$AI14</f>
        <v>0</v>
      </c>
      <c r="SC14" s="2" cm="1">
        <f t="array" ref="SC14">INDEX(增益!$A$2:$Q$40,RE14,MATCH(SC$8,增益!$B$1:$Q$1,0)+1)*$AI14</f>
        <v>0</v>
      </c>
      <c r="SG14" s="2" cm="1">
        <f t="array" ref="SG14">INDEX(云配队!$J19:$AC19,1,SG$1)</f>
        <v>0</v>
      </c>
      <c r="SH14" s="2">
        <f>IFERROR(MATCH(SG14,增益!$A$2:$A$40,FALSE),1)</f>
        <v>1</v>
      </c>
      <c r="SI14" s="2" cm="1">
        <f t="array" ref="SI14">INDEX(增益!$A$2:$Q$40,SH14,MATCH(SI$8,增益!$B$1:$Q$1,0)+1)*$AI14</f>
        <v>0</v>
      </c>
      <c r="SJ14" s="2" cm="1">
        <f t="array" ref="SJ14">INDEX(增益!$A$2:$Q$40,SH14,MATCH(SJ$8,增益!$B$1:$Q$1,0)+1)*$AI14</f>
        <v>0</v>
      </c>
      <c r="SK14" s="2" cm="1">
        <f t="array" ref="SK14">INDEX(增益!$A$2:$Q$40,SH14,MATCH(SK$8,增益!$B$1:$Q$1,0)+1)*$AI14</f>
        <v>0</v>
      </c>
      <c r="SL14" s="2" cm="1">
        <f t="array" ref="SL14">INDEX(增益!$A$2:$Q$40,SH14,MATCH(SL$8,增益!$B$1:$Q$1,0)+1)*$AI14</f>
        <v>0</v>
      </c>
      <c r="SM14" s="2" cm="1">
        <f t="array" ref="SM14">INDEX(增益!$A$2:$Q$40,SH14,MATCH(SM$8,增益!$B$1:$Q$1,0)+1)*$AI14</f>
        <v>0</v>
      </c>
      <c r="SN14" s="2" cm="1">
        <f t="array" ref="SN14">INDEX(增益!$A$2:$Q$40,SH14,MATCH(SN$8,增益!$B$1:$Q$1,0)+1)*$AI14</f>
        <v>0</v>
      </c>
      <c r="SO14" s="2" cm="1">
        <f t="array" ref="SO14">INDEX(增益!$A$2:$Q$40,SH14,MATCH(SO$8,增益!$B$1:$Q$1,0)+1)*$AI14</f>
        <v>0</v>
      </c>
      <c r="SP14" s="2" cm="1">
        <f t="array" ref="SP14">INDEX(增益!$A$2:$Q$40,SH14,MATCH(SP$8,增益!$B$1:$Q$1,0)+1)*$AI14</f>
        <v>0</v>
      </c>
      <c r="SQ14" s="2" cm="1">
        <f t="array" ref="SQ14">INDEX(增益!$A$2:$Q$40,SH14,MATCH(SQ$8,增益!$B$1:$Q$1,0)+1)*$AI14</f>
        <v>0</v>
      </c>
      <c r="SR14" s="2" cm="1">
        <f t="array" ref="SR14">INDEX(增益!$A$2:$Q$40,SH14,MATCH(SR$8,增益!$B$1:$Q$1,0)+1)*$AI14</f>
        <v>0</v>
      </c>
      <c r="SY14" s="2" cm="1">
        <f t="array" ref="SY14">INDEX(增益!$A$2:$Q$40,SH14,MATCH(SY$8,增益!$B$1:$Q$1,0)+1)*$AI14</f>
        <v>0</v>
      </c>
      <c r="SZ14" s="2" cm="1">
        <f t="array" ref="SZ14">INDEX(增益!$A$2:$Q$40,SH14,MATCH(SZ$8,增益!$B$1:$Q$1,0)+1)*$AI14</f>
        <v>0</v>
      </c>
      <c r="TA14" s="2" cm="1">
        <f t="array" ref="TA14">INDEX(增益!$A$2:$Q$40,SH14,MATCH(TA$8,增益!$B$1:$Q$1,0)+1)*$AI14</f>
        <v>0</v>
      </c>
      <c r="TC14" s="2" cm="1">
        <f t="array" ref="TC14">INDEX(增益!$A$2:$Q$40,SH14,MATCH(TC$8,增益!$B$1:$Q$1,0)+1)*$AI14</f>
        <v>0</v>
      </c>
      <c r="TE14" s="2" cm="1">
        <f t="array" ref="TE14">INDEX(增益!$A$2:$Q$40,SH14,MATCH(TE$8,增益!$B$1:$Q$1,0)+1)*$AI14</f>
        <v>0</v>
      </c>
      <c r="TF14" s="2" cm="1">
        <f t="array" ref="TF14">INDEX(增益!$A$2:$Q$40,SH14,MATCH(TF$8,增益!$B$1:$Q$1,0)+1)*$AI14</f>
        <v>0</v>
      </c>
      <c r="TJ14" s="2" cm="1">
        <f t="array" ref="TJ14">INDEX(云配队!$J19:$AC19,1,TJ$1)</f>
        <v>0</v>
      </c>
      <c r="TK14" s="2">
        <f>IFERROR(MATCH(TJ14,增益!$A$2:$A$40,FALSE),1)</f>
        <v>1</v>
      </c>
      <c r="TL14" s="2" cm="1">
        <f t="array" ref="TL14">INDEX(增益!$A$2:$Q$40,TK14,MATCH(TL$8,增益!$B$1:$Q$1,0)+1)*$AI14</f>
        <v>0</v>
      </c>
      <c r="TM14" s="2" cm="1">
        <f t="array" ref="TM14">INDEX(增益!$A$2:$Q$40,TK14,MATCH(TM$8,增益!$B$1:$Q$1,0)+1)*$AI14</f>
        <v>0</v>
      </c>
      <c r="TN14" s="2" cm="1">
        <f t="array" ref="TN14">INDEX(增益!$A$2:$Q$40,TK14,MATCH(TN$8,增益!$B$1:$Q$1,0)+1)*$AI14</f>
        <v>0</v>
      </c>
      <c r="TO14" s="2" cm="1">
        <f t="array" ref="TO14">INDEX(增益!$A$2:$Q$40,TK14,MATCH(TO$8,增益!$B$1:$Q$1,0)+1)*$AI14</f>
        <v>0</v>
      </c>
      <c r="TP14" s="2" cm="1">
        <f t="array" ref="TP14">INDEX(增益!$A$2:$Q$40,TK14,MATCH(TP$8,增益!$B$1:$Q$1,0)+1)*$AI14</f>
        <v>0</v>
      </c>
      <c r="TQ14" s="2" cm="1">
        <f t="array" ref="TQ14">INDEX(增益!$A$2:$Q$40,TK14,MATCH(TQ$8,增益!$B$1:$Q$1,0)+1)*$AI14</f>
        <v>0</v>
      </c>
      <c r="TR14" s="2" cm="1">
        <f t="array" ref="TR14">INDEX(增益!$A$2:$Q$40,TK14,MATCH(TR$8,增益!$B$1:$Q$1,0)+1)*$AI14</f>
        <v>0</v>
      </c>
      <c r="TS14" s="2" cm="1">
        <f t="array" ref="TS14">INDEX(增益!$A$2:$Q$40,TK14,MATCH(TS$8,增益!$B$1:$Q$1,0)+1)*$AI14</f>
        <v>0</v>
      </c>
      <c r="TT14" s="2" cm="1">
        <f t="array" ref="TT14">INDEX(增益!$A$2:$Q$40,TK14,MATCH(TT$8,增益!$B$1:$Q$1,0)+1)*$AI14</f>
        <v>0</v>
      </c>
      <c r="TU14" s="2" cm="1">
        <f t="array" ref="TU14">INDEX(增益!$A$2:$Q$40,TK14,MATCH(TU$8,增益!$B$1:$Q$1,0)+1)*$AI14</f>
        <v>0</v>
      </c>
      <c r="UB14" s="2" cm="1">
        <f t="array" ref="UB14">INDEX(增益!$A$2:$Q$40,TK14,MATCH(UB$8,增益!$B$1:$Q$1,0)+1)*$AI14</f>
        <v>0</v>
      </c>
      <c r="UC14" s="2" cm="1">
        <f t="array" ref="UC14">INDEX(增益!$A$2:$Q$40,TK14,MATCH(UC$8,增益!$B$1:$Q$1,0)+1)*$AI14</f>
        <v>0</v>
      </c>
      <c r="UD14" s="2" cm="1">
        <f t="array" ref="UD14">INDEX(增益!$A$2:$Q$40,TK14,MATCH(UD$8,增益!$B$1:$Q$1,0)+1)*$AI14</f>
        <v>0</v>
      </c>
      <c r="UF14" s="2" cm="1">
        <f t="array" ref="UF14">INDEX(增益!$A$2:$Q$40,TK14,MATCH(UF$8,增益!$B$1:$Q$1,0)+1)*$AI14</f>
        <v>0</v>
      </c>
      <c r="UH14" s="2" cm="1">
        <f t="array" ref="UH14">INDEX(增益!$A$2:$Q$40,TK14,MATCH(UH$8,增益!$B$1:$Q$1,0)+1)*$AI14</f>
        <v>0</v>
      </c>
      <c r="UI14" s="2" cm="1">
        <f t="array" ref="UI14">INDEX(增益!$A$2:$Q$40,TK14,MATCH(UI$8,增益!$B$1:$Q$1,0)+1)*$AI14</f>
        <v>0</v>
      </c>
      <c r="UM14" s="2" cm="1">
        <f t="array" ref="UM14">INDEX(云配队!$J19:$AC19,1,UM$1)</f>
        <v>0</v>
      </c>
      <c r="UN14" s="2">
        <f>IFERROR(MATCH(UM14,增益!$A$2:$A$40,FALSE),1)</f>
        <v>1</v>
      </c>
      <c r="UO14" s="2" cm="1">
        <f t="array" ref="UO14">INDEX(增益!$A$2:$Q$40,UN14,MATCH(UO$8,增益!$B$1:$Q$1,0)+1)*$AI14</f>
        <v>0</v>
      </c>
      <c r="UP14" s="2" cm="1">
        <f t="array" ref="UP14">INDEX(增益!$A$2:$Q$40,UN14,MATCH(UP$8,增益!$B$1:$Q$1,0)+1)*$AI14</f>
        <v>0</v>
      </c>
      <c r="UQ14" s="2" cm="1">
        <f t="array" ref="UQ14">INDEX(增益!$A$2:$Q$40,UN14,MATCH(UQ$8,增益!$B$1:$Q$1,0)+1)*$AI14</f>
        <v>0</v>
      </c>
      <c r="UR14" s="2" cm="1">
        <f t="array" ref="UR14">INDEX(增益!$A$2:$Q$40,UN14,MATCH(UR$8,增益!$B$1:$Q$1,0)+1)*$AI14</f>
        <v>0</v>
      </c>
      <c r="US14" s="2" cm="1">
        <f t="array" ref="US14">INDEX(增益!$A$2:$Q$40,UN14,MATCH(US$8,增益!$B$1:$Q$1,0)+1)*$AI14</f>
        <v>0</v>
      </c>
      <c r="UT14" s="2" cm="1">
        <f t="array" ref="UT14">INDEX(增益!$A$2:$Q$40,UN14,MATCH(UT$8,增益!$B$1:$Q$1,0)+1)*$AI14</f>
        <v>0</v>
      </c>
      <c r="UU14" s="2" cm="1">
        <f t="array" ref="UU14">INDEX(增益!$A$2:$Q$40,UN14,MATCH(UU$8,增益!$B$1:$Q$1,0)+1)*$AI14</f>
        <v>0</v>
      </c>
      <c r="UV14" s="2" cm="1">
        <f t="array" ref="UV14">INDEX(增益!$A$2:$Q$40,UN14,MATCH(UV$8,增益!$B$1:$Q$1,0)+1)*$AI14</f>
        <v>0</v>
      </c>
      <c r="UW14" s="2" cm="1">
        <f t="array" ref="UW14">INDEX(增益!$A$2:$Q$40,UN14,MATCH(UW$8,增益!$B$1:$Q$1,0)+1)*$AI14</f>
        <v>0</v>
      </c>
      <c r="UX14" s="2" cm="1">
        <f t="array" ref="UX14">INDEX(增益!$A$2:$Q$40,UN14,MATCH(UX$8,增益!$B$1:$Q$1,0)+1)*$AI14</f>
        <v>0</v>
      </c>
      <c r="VE14" s="2" cm="1">
        <f t="array" ref="VE14">INDEX(增益!$A$2:$Q$40,UN14,MATCH(VE$8,增益!$B$1:$Q$1,0)+1)*$AI14</f>
        <v>0</v>
      </c>
      <c r="VF14" s="2" cm="1">
        <f t="array" ref="VF14">INDEX(增益!$A$2:$Q$40,UN14,MATCH(VF$8,增益!$B$1:$Q$1,0)+1)*$AI14</f>
        <v>0</v>
      </c>
      <c r="VG14" s="2" cm="1">
        <f t="array" ref="VG14">INDEX(增益!$A$2:$Q$40,UN14,MATCH(VG$8,增益!$B$1:$Q$1,0)+1)*$AI14</f>
        <v>0</v>
      </c>
      <c r="VI14" s="2" cm="1">
        <f t="array" ref="VI14">INDEX(增益!$A$2:$Q$40,UN14,MATCH(VI$8,增益!$B$1:$Q$1,0)+1)*$AI14</f>
        <v>0</v>
      </c>
      <c r="VK14" s="2" cm="1">
        <f t="array" ref="VK14">INDEX(增益!$A$2:$Q$40,UN14,MATCH(VK$8,增益!$B$1:$Q$1,0)+1)*$AI14</f>
        <v>0</v>
      </c>
      <c r="VL14" s="2" cm="1">
        <f t="array" ref="VL14">INDEX(增益!$A$2:$Q$40,UN14,MATCH(VL$8,增益!$B$1:$Q$1,0)+1)*$AI14</f>
        <v>0</v>
      </c>
      <c r="VP14" s="2" cm="1">
        <f t="array" ref="VP14">INDEX(云配队!$J19:$AC19,1,VP$1)</f>
        <v>0</v>
      </c>
      <c r="VQ14" s="2">
        <f>IFERROR(MATCH(VP14,增益!$A$2:$A$40,FALSE),1)</f>
        <v>1</v>
      </c>
      <c r="VR14" s="2" cm="1">
        <f t="array" ref="VR14">INDEX(增益!$A$2:$Q$40,VQ14,MATCH(VR$8,增益!$B$1:$Q$1,0)+1)*$AI14</f>
        <v>0</v>
      </c>
      <c r="VS14" s="2" cm="1">
        <f t="array" ref="VS14">INDEX(增益!$A$2:$Q$40,VQ14,MATCH(VS$8,增益!$B$1:$Q$1,0)+1)*$AI14</f>
        <v>0</v>
      </c>
      <c r="VT14" s="2" cm="1">
        <f t="array" ref="VT14">INDEX(增益!$A$2:$Q$40,VQ14,MATCH(VT$8,增益!$B$1:$Q$1,0)+1)*$AI14</f>
        <v>0</v>
      </c>
      <c r="VU14" s="2" cm="1">
        <f t="array" ref="VU14">INDEX(增益!$A$2:$Q$40,VQ14,MATCH(VU$8,增益!$B$1:$Q$1,0)+1)*$AI14</f>
        <v>0</v>
      </c>
      <c r="VV14" s="2" cm="1">
        <f t="array" ref="VV14">INDEX(增益!$A$2:$Q$40,VQ14,MATCH(VV$8,增益!$B$1:$Q$1,0)+1)*$AI14</f>
        <v>0</v>
      </c>
      <c r="VW14" s="2" cm="1">
        <f t="array" ref="VW14">INDEX(增益!$A$2:$Q$40,VQ14,MATCH(VW$8,增益!$B$1:$Q$1,0)+1)*$AI14</f>
        <v>0</v>
      </c>
      <c r="VX14" s="2" cm="1">
        <f t="array" ref="VX14">INDEX(增益!$A$2:$Q$40,VQ14,MATCH(VX$8,增益!$B$1:$Q$1,0)+1)*$AI14</f>
        <v>0</v>
      </c>
      <c r="VY14" s="2" cm="1">
        <f t="array" ref="VY14">INDEX(增益!$A$2:$Q$40,VQ14,MATCH(VY$8,增益!$B$1:$Q$1,0)+1)*$AI14</f>
        <v>0</v>
      </c>
      <c r="VZ14" s="2" cm="1">
        <f t="array" ref="VZ14">INDEX(增益!$A$2:$Q$40,VQ14,MATCH(VZ$8,增益!$B$1:$Q$1,0)+1)*$AI14</f>
        <v>0</v>
      </c>
      <c r="WA14" s="2" cm="1">
        <f t="array" ref="WA14">INDEX(增益!$A$2:$Q$40,VQ14,MATCH(WA$8,增益!$B$1:$Q$1,0)+1)*$AI14</f>
        <v>0</v>
      </c>
      <c r="WH14" s="2" cm="1">
        <f t="array" ref="WH14">INDEX(增益!$A$2:$Q$40,VQ14,MATCH(WH$8,增益!$B$1:$Q$1,0)+1)*$AI14</f>
        <v>0</v>
      </c>
      <c r="WI14" s="2" cm="1">
        <f t="array" ref="WI14">INDEX(增益!$A$2:$Q$40,VQ14,MATCH(WI$8,增益!$B$1:$Q$1,0)+1)*$AI14</f>
        <v>0</v>
      </c>
      <c r="WJ14" s="2" cm="1">
        <f t="array" ref="WJ14">INDEX(增益!$A$2:$Q$40,VQ14,MATCH(WJ$8,增益!$B$1:$Q$1,0)+1)*$AI14</f>
        <v>0</v>
      </c>
      <c r="WL14" s="2" cm="1">
        <f t="array" ref="WL14">INDEX(增益!$A$2:$Q$40,VQ14,MATCH(WL$8,增益!$B$1:$Q$1,0)+1)*$AI14</f>
        <v>0</v>
      </c>
      <c r="WN14" s="2" cm="1">
        <f t="array" ref="WN14">INDEX(增益!$A$2:$Q$40,VQ14,MATCH(WN$8,增益!$B$1:$Q$1,0)+1)*$AI14</f>
        <v>0</v>
      </c>
      <c r="WO14" s="2" cm="1">
        <f t="array" ref="WO14">INDEX(增益!$A$2:$Q$40,VQ14,MATCH(WO$8,增益!$B$1:$Q$1,0)+1)*$AI14</f>
        <v>0</v>
      </c>
    </row>
    <row r="15" spans="1:616">
      <c r="AI15" s="2">
        <f>IF(云配队!H20&gt;0,云配队!H20,1)</f>
        <v>1</v>
      </c>
      <c r="AK15" s="2" cm="1">
        <f t="array" ref="AK15">INDEX(云配队!$J20:$AC20,1,AK$1)</f>
        <v>0</v>
      </c>
      <c r="AL15" s="2">
        <f>IFERROR(MATCH(AK15,增益!$A$2:$A$40,FALSE),1)</f>
        <v>1</v>
      </c>
      <c r="AM15" s="2" cm="1">
        <f t="array" ref="AM15">INDEX(增益!$A$2:$Q$40,AL15,MATCH(AM$8,增益!$B$1:$Q$1,0)+1)*$AI15</f>
        <v>0</v>
      </c>
      <c r="AN15" s="2" cm="1">
        <f t="array" ref="AN15">INDEX(增益!$A$2:$Q$40,AL15,MATCH(AN$8,增益!$B$1:$Q$1,0)+1)*$AI15</f>
        <v>0</v>
      </c>
      <c r="AO15" s="2" cm="1">
        <f t="array" ref="AO15">INDEX(增益!$A$2:$Q$40,AL15,MATCH(AO$8,增益!$B$1:$Q$1,0)+1)*$AI15</f>
        <v>0</v>
      </c>
      <c r="AP15" s="2" cm="1">
        <f t="array" ref="AP15">INDEX(增益!$A$2:$Q$40,AL15,MATCH(AP$8,增益!$B$1:$Q$1,0)+1)*$AI15</f>
        <v>0</v>
      </c>
      <c r="AQ15" s="2" cm="1">
        <f t="array" ref="AQ15">INDEX(增益!$A$2:$Q$40,AL15,MATCH(AQ$8,增益!$B$1:$Q$1,0)+1)*$AI15</f>
        <v>0</v>
      </c>
      <c r="AR15" s="2" cm="1">
        <f t="array" ref="AR15">INDEX(增益!$A$2:$Q$40,AL15,MATCH(AR$8,增益!$B$1:$Q$1,0)+1)*$AI15</f>
        <v>0</v>
      </c>
      <c r="AS15" s="2" cm="1">
        <f t="array" ref="AS15">INDEX(增益!$A$2:$Q$40,AL15,MATCH(AS$8,增益!$B$1:$Q$1,0)+1)*$AI15</f>
        <v>0</v>
      </c>
      <c r="AT15" s="2" cm="1">
        <f t="array" ref="AT15">INDEX(增益!$A$2:$Q$40,AL15,MATCH(AT$8,增益!$B$1:$Q$1,0)+1)*$AI15</f>
        <v>0</v>
      </c>
      <c r="AU15" s="2" cm="1">
        <f t="array" ref="AU15">INDEX(增益!$A$2:$Q$40,AL15,MATCH(AU$8,增益!$B$1:$Q$1,0)+1)*$AI15</f>
        <v>0</v>
      </c>
      <c r="AV15" s="2" cm="1">
        <f t="array" ref="AV15">INDEX(增益!$A$2:$Q$40,AL15,MATCH(AV$8,增益!$B$1:$Q$1,0)+1)*$AI15</f>
        <v>0</v>
      </c>
      <c r="BC15" s="2" cm="1">
        <f t="array" ref="BC15">INDEX(增益!$A$2:$Q$40,AL15,MATCH(BC$8,增益!$B$1:$Q$1,0)+1)*$AI15</f>
        <v>0</v>
      </c>
      <c r="BD15" s="2" cm="1">
        <f t="array" ref="BD15">INDEX(增益!$A$2:$Q$40,AL15,MATCH(BD$8,增益!$B$1:$Q$1,0)+1)*$AI15</f>
        <v>0</v>
      </c>
      <c r="BE15" s="2" cm="1">
        <f t="array" ref="BE15">INDEX(增益!$A$2:$Q$40,AL15,MATCH(BE$8,增益!$B$1:$Q$1,0)+1)*$AI15</f>
        <v>0</v>
      </c>
      <c r="BG15" s="2" cm="1">
        <f t="array" ref="BG15">INDEX(增益!$A$2:$Q$40,AL15,MATCH(BG$8,增益!$B$1:$Q$1,0)+1)*$AI15</f>
        <v>0</v>
      </c>
      <c r="BI15" s="2" cm="1">
        <f t="array" ref="BI15">INDEX(增益!$A$2:$Q$40,AL15,MATCH(BI$8,增益!$B$1:$Q$1,0)+1)*$AI15</f>
        <v>0</v>
      </c>
      <c r="BJ15" s="2" cm="1">
        <f t="array" ref="BJ15">INDEX(增益!$A$2:$Q$40,AL15,MATCH(BJ$8,增益!$B$1:$Q$1,0)+1)*$AI15</f>
        <v>0</v>
      </c>
      <c r="BN15" s="2" cm="1">
        <f t="array" ref="BN15">INDEX(云配队!$J20:$AC20,1,BN$1)</f>
        <v>0</v>
      </c>
      <c r="BO15" s="2">
        <f>IFERROR(MATCH(BN15,增益!$A$2:$A$40,FALSE),1)</f>
        <v>1</v>
      </c>
      <c r="BP15" s="2" cm="1">
        <f t="array" ref="BP15">INDEX(增益!$A$2:$Q$40,BO15,MATCH(BP$8,增益!$B$1:$Q$1,0)+1)*$AI15</f>
        <v>0</v>
      </c>
      <c r="BQ15" s="2" cm="1">
        <f t="array" ref="BQ15">INDEX(增益!$A$2:$Q$40,BO15,MATCH(BQ$8,增益!$B$1:$Q$1,0)+1)*$AI15</f>
        <v>0</v>
      </c>
      <c r="BR15" s="2" cm="1">
        <f t="array" ref="BR15">INDEX(增益!$A$2:$Q$40,BO15,MATCH(BR$8,增益!$B$1:$Q$1,0)+1)*$AI15</f>
        <v>0</v>
      </c>
      <c r="BS15" s="2" cm="1">
        <f t="array" ref="BS15">INDEX(增益!$A$2:$Q$40,BO15,MATCH(BS$8,增益!$B$1:$Q$1,0)+1)*$AI15</f>
        <v>0</v>
      </c>
      <c r="BT15" s="2" cm="1">
        <f t="array" ref="BT15">INDEX(增益!$A$2:$Q$40,BO15,MATCH(BT$8,增益!$B$1:$Q$1,0)+1)*$AI15</f>
        <v>0</v>
      </c>
      <c r="BU15" s="2" cm="1">
        <f t="array" ref="BU15">INDEX(增益!$A$2:$Q$40,BO15,MATCH(BU$8,增益!$B$1:$Q$1,0)+1)*$AI15</f>
        <v>0</v>
      </c>
      <c r="BV15" s="2" cm="1">
        <f t="array" ref="BV15">INDEX(增益!$A$2:$Q$40,BO15,MATCH(BV$8,增益!$B$1:$Q$1,0)+1)*$AI15</f>
        <v>0</v>
      </c>
      <c r="BW15" s="2" cm="1">
        <f t="array" ref="BW15">INDEX(增益!$A$2:$Q$40,BO15,MATCH(BW$8,增益!$B$1:$Q$1,0)+1)*$AI15</f>
        <v>0</v>
      </c>
      <c r="BX15" s="2" cm="1">
        <f t="array" ref="BX15">INDEX(增益!$A$2:$Q$40,BO15,MATCH(BX$8,增益!$B$1:$Q$1,0)+1)*$AI15</f>
        <v>0</v>
      </c>
      <c r="BY15" s="2" cm="1">
        <f t="array" ref="BY15">INDEX(增益!$A$2:$Q$40,BO15,MATCH(BY$8,增益!$B$1:$Q$1,0)+1)*$AI15</f>
        <v>0</v>
      </c>
      <c r="CF15" s="2" cm="1">
        <f t="array" ref="CF15">INDEX(增益!$A$2:$Q$40,BO15,MATCH(CF$8,增益!$B$1:$Q$1,0)+1)*$AI15</f>
        <v>0</v>
      </c>
      <c r="CG15" s="2" cm="1">
        <f t="array" ref="CG15">INDEX(增益!$A$2:$Q$40,BO15,MATCH(CG$8,增益!$B$1:$Q$1,0)+1)*$AI15</f>
        <v>0</v>
      </c>
      <c r="CH15" s="2" cm="1">
        <f t="array" ref="CH15">INDEX(增益!$A$2:$Q$40,BO15,MATCH(CH$8,增益!$B$1:$Q$1,0)+1)*$AI15</f>
        <v>0</v>
      </c>
      <c r="CJ15" s="2" cm="1">
        <f t="array" ref="CJ15">INDEX(增益!$A$2:$Q$40,BO15,MATCH(CJ$8,增益!$B$1:$Q$1,0)+1)*$AI15</f>
        <v>0</v>
      </c>
      <c r="CL15" s="2" cm="1">
        <f t="array" ref="CL15">INDEX(增益!$A$2:$Q$40,BO15,MATCH(CL$8,增益!$B$1:$Q$1,0)+1)*$AI15</f>
        <v>0</v>
      </c>
      <c r="CM15" s="2" cm="1">
        <f t="array" ref="CM15">INDEX(增益!$A$2:$Q$40,BO15,MATCH(CM$8,增益!$B$1:$Q$1,0)+1)*$AI15</f>
        <v>0</v>
      </c>
      <c r="CQ15" s="2" cm="1">
        <f t="array" ref="CQ15">INDEX(云配队!$J20:$AC20,1,CQ$1)</f>
        <v>0</v>
      </c>
      <c r="CR15" s="2">
        <f>IFERROR(MATCH(CQ15,增益!$A$2:$A$40,FALSE),1)</f>
        <v>1</v>
      </c>
      <c r="CS15" s="2" cm="1">
        <f t="array" ref="CS15">INDEX(增益!$A$2:$Q$40,CR15,MATCH(CS$8,增益!$B$1:$Q$1,0)+1)*$AI15</f>
        <v>0</v>
      </c>
      <c r="CT15" s="2" cm="1">
        <f t="array" ref="CT15">INDEX(增益!$A$2:$Q$40,CR15,MATCH(CT$8,增益!$B$1:$Q$1,0)+1)*$AI15</f>
        <v>0</v>
      </c>
      <c r="CU15" s="2" cm="1">
        <f t="array" ref="CU15">INDEX(增益!$A$2:$Q$40,CR15,MATCH(CU$8,增益!$B$1:$Q$1,0)+1)*$AI15</f>
        <v>0</v>
      </c>
      <c r="CV15" s="2" cm="1">
        <f t="array" ref="CV15">INDEX(增益!$A$2:$Q$40,CR15,MATCH(CV$8,增益!$B$1:$Q$1,0)+1)*$AI15</f>
        <v>0</v>
      </c>
      <c r="CW15" s="2" cm="1">
        <f t="array" ref="CW15">INDEX(增益!$A$2:$Q$40,CR15,MATCH(CW$8,增益!$B$1:$Q$1,0)+1)*$AI15</f>
        <v>0</v>
      </c>
      <c r="CX15" s="2" cm="1">
        <f t="array" ref="CX15">INDEX(增益!$A$2:$Q$40,CR15,MATCH(CX$8,增益!$B$1:$Q$1,0)+1)*$AI15</f>
        <v>0</v>
      </c>
      <c r="CY15" s="2" cm="1">
        <f t="array" ref="CY15">INDEX(增益!$A$2:$Q$40,CR15,MATCH(CY$8,增益!$B$1:$Q$1,0)+1)*$AI15</f>
        <v>0</v>
      </c>
      <c r="CZ15" s="2" cm="1">
        <f t="array" ref="CZ15">INDEX(增益!$A$2:$Q$40,CR15,MATCH(CZ$8,增益!$B$1:$Q$1,0)+1)*$AI15</f>
        <v>0</v>
      </c>
      <c r="DA15" s="2" cm="1">
        <f t="array" ref="DA15">INDEX(增益!$A$2:$Q$40,CR15,MATCH(DA$8,增益!$B$1:$Q$1,0)+1)*$AI15</f>
        <v>0</v>
      </c>
      <c r="DB15" s="2" cm="1">
        <f t="array" ref="DB15">INDEX(增益!$A$2:$Q$40,CR15,MATCH(DB$8,增益!$B$1:$Q$1,0)+1)*$AI15</f>
        <v>0</v>
      </c>
      <c r="DI15" s="2" cm="1">
        <f t="array" ref="DI15">INDEX(增益!$A$2:$Q$40,CR15,MATCH(DI$8,增益!$B$1:$Q$1,0)+1)*$AI15</f>
        <v>0</v>
      </c>
      <c r="DJ15" s="2" cm="1">
        <f t="array" ref="DJ15">INDEX(增益!$A$2:$Q$40,CR15,MATCH(DJ$8,增益!$B$1:$Q$1,0)+1)*$AI15</f>
        <v>0</v>
      </c>
      <c r="DK15" s="2" cm="1">
        <f t="array" ref="DK15">INDEX(增益!$A$2:$Q$40,CR15,MATCH(DK$8,增益!$B$1:$Q$1,0)+1)*$AI15</f>
        <v>0</v>
      </c>
      <c r="DM15" s="2" cm="1">
        <f t="array" ref="DM15">INDEX(增益!$A$2:$Q$40,CR15,MATCH(DM$8,增益!$B$1:$Q$1,0)+1)*$AI15</f>
        <v>0</v>
      </c>
      <c r="DO15" s="2" cm="1">
        <f t="array" ref="DO15">INDEX(增益!$A$2:$Q$40,CR15,MATCH(DO$8,增益!$B$1:$Q$1,0)+1)*$AI15</f>
        <v>0</v>
      </c>
      <c r="DP15" s="2" cm="1">
        <f t="array" ref="DP15">INDEX(增益!$A$2:$Q$40,CR15,MATCH(DP$8,增益!$B$1:$Q$1,0)+1)*$AI15</f>
        <v>0</v>
      </c>
      <c r="DT15" s="2" cm="1">
        <f t="array" ref="DT15">INDEX(云配队!$J20:$AC20,1,DT$1)</f>
        <v>0</v>
      </c>
      <c r="DU15" s="2">
        <f>IFERROR(MATCH(DT15,增益!$A$2:$A$40,FALSE),1)</f>
        <v>1</v>
      </c>
      <c r="DV15" s="2" cm="1">
        <f t="array" ref="DV15">INDEX(增益!$A$2:$Q$40,DU15,MATCH(DV$8,增益!$B$1:$Q$1,0)+1)*$AI15</f>
        <v>0</v>
      </c>
      <c r="DW15" s="2" cm="1">
        <f t="array" ref="DW15">INDEX(增益!$A$2:$Q$40,DU15,MATCH(DW$8,增益!$B$1:$Q$1,0)+1)*$AI15</f>
        <v>0</v>
      </c>
      <c r="DX15" s="2" cm="1">
        <f t="array" ref="DX15">INDEX(增益!$A$2:$Q$40,DU15,MATCH(DX$8,增益!$B$1:$Q$1,0)+1)*$AI15</f>
        <v>0</v>
      </c>
      <c r="DY15" s="2" cm="1">
        <f t="array" ref="DY15">INDEX(增益!$A$2:$Q$40,DU15,MATCH(DY$8,增益!$B$1:$Q$1,0)+1)*$AI15</f>
        <v>0</v>
      </c>
      <c r="DZ15" s="2" cm="1">
        <f t="array" ref="DZ15">INDEX(增益!$A$2:$Q$40,DU15,MATCH(DZ$8,增益!$B$1:$Q$1,0)+1)*$AI15</f>
        <v>0</v>
      </c>
      <c r="EA15" s="2" cm="1">
        <f t="array" ref="EA15">INDEX(增益!$A$2:$Q$40,DU15,MATCH(EA$8,增益!$B$1:$Q$1,0)+1)*$AI15</f>
        <v>0</v>
      </c>
      <c r="EB15" s="2" cm="1">
        <f t="array" ref="EB15">INDEX(增益!$A$2:$Q$40,DU15,MATCH(EB$8,增益!$B$1:$Q$1,0)+1)*$AI15</f>
        <v>0</v>
      </c>
      <c r="EC15" s="2" cm="1">
        <f t="array" ref="EC15">INDEX(增益!$A$2:$Q$40,DU15,MATCH(EC$8,增益!$B$1:$Q$1,0)+1)*$AI15</f>
        <v>0</v>
      </c>
      <c r="ED15" s="2" cm="1">
        <f t="array" ref="ED15">INDEX(增益!$A$2:$Q$40,DU15,MATCH(ED$8,增益!$B$1:$Q$1,0)+1)*$AI15</f>
        <v>0</v>
      </c>
      <c r="EE15" s="2" cm="1">
        <f t="array" ref="EE15">INDEX(增益!$A$2:$Q$40,DU15,MATCH(EE$8,增益!$B$1:$Q$1,0)+1)*$AI15</f>
        <v>0</v>
      </c>
      <c r="EL15" s="2" cm="1">
        <f t="array" ref="EL15">INDEX(增益!$A$2:$Q$40,DU15,MATCH(EL$8,增益!$B$1:$Q$1,0)+1)*$AI15</f>
        <v>0</v>
      </c>
      <c r="EM15" s="2" cm="1">
        <f t="array" ref="EM15">INDEX(增益!$A$2:$Q$40,DU15,MATCH(EM$8,增益!$B$1:$Q$1,0)+1)*$AI15</f>
        <v>0</v>
      </c>
      <c r="EN15" s="2" cm="1">
        <f t="array" ref="EN15">INDEX(增益!$A$2:$Q$40,DU15,MATCH(EN$8,增益!$B$1:$Q$1,0)+1)*$AI15</f>
        <v>0</v>
      </c>
      <c r="EP15" s="2" cm="1">
        <f t="array" ref="EP15">INDEX(增益!$A$2:$Q$40,DU15,MATCH(EP$8,增益!$B$1:$Q$1,0)+1)*$AI15</f>
        <v>0</v>
      </c>
      <c r="ER15" s="2" cm="1">
        <f t="array" ref="ER15">INDEX(增益!$A$2:$Q$40,DU15,MATCH(ER$8,增益!$B$1:$Q$1,0)+1)*$AI15</f>
        <v>0</v>
      </c>
      <c r="ES15" s="2" cm="1">
        <f t="array" ref="ES15">INDEX(增益!$A$2:$Q$40,DU15,MATCH(ES$8,增益!$B$1:$Q$1,0)+1)*$AI15</f>
        <v>0</v>
      </c>
      <c r="EW15" s="2" cm="1">
        <f t="array" ref="EW15">INDEX(云配队!$J20:$AC20,1,EW$1)</f>
        <v>0</v>
      </c>
      <c r="EX15" s="2">
        <f>IFERROR(MATCH(EW15,增益!$A$2:$A$40,FALSE),1)</f>
        <v>1</v>
      </c>
      <c r="EY15" s="2" cm="1">
        <f t="array" ref="EY15">INDEX(增益!$A$2:$Q$40,EX15,MATCH(EY$8,增益!$B$1:$Q$1,0)+1)*$AI15</f>
        <v>0</v>
      </c>
      <c r="EZ15" s="2" cm="1">
        <f t="array" ref="EZ15">INDEX(增益!$A$2:$Q$40,EX15,MATCH(EZ$8,增益!$B$1:$Q$1,0)+1)*$AI15</f>
        <v>0</v>
      </c>
      <c r="FA15" s="2" cm="1">
        <f t="array" ref="FA15">INDEX(增益!$A$2:$Q$40,EX15,MATCH(FA$8,增益!$B$1:$Q$1,0)+1)*$AI15</f>
        <v>0</v>
      </c>
      <c r="FB15" s="2" cm="1">
        <f t="array" ref="FB15">INDEX(增益!$A$2:$Q$40,EX15,MATCH(FB$8,增益!$B$1:$Q$1,0)+1)*$AI15</f>
        <v>0</v>
      </c>
      <c r="FC15" s="2" cm="1">
        <f t="array" ref="FC15">INDEX(增益!$A$2:$Q$40,EX15,MATCH(FC$8,增益!$B$1:$Q$1,0)+1)*$AI15</f>
        <v>0</v>
      </c>
      <c r="FD15" s="2" cm="1">
        <f t="array" ref="FD15">INDEX(增益!$A$2:$Q$40,EX15,MATCH(FD$8,增益!$B$1:$Q$1,0)+1)*$AI15</f>
        <v>0</v>
      </c>
      <c r="FE15" s="2" cm="1">
        <f t="array" ref="FE15">INDEX(增益!$A$2:$Q$40,EX15,MATCH(FE$8,增益!$B$1:$Q$1,0)+1)*$AI15</f>
        <v>0</v>
      </c>
      <c r="FF15" s="2" cm="1">
        <f t="array" ref="FF15">INDEX(增益!$A$2:$Q$40,EX15,MATCH(FF$8,增益!$B$1:$Q$1,0)+1)*$AI15</f>
        <v>0</v>
      </c>
      <c r="FG15" s="2" cm="1">
        <f t="array" ref="FG15">INDEX(增益!$A$2:$Q$40,EX15,MATCH(FG$8,增益!$B$1:$Q$1,0)+1)*$AI15</f>
        <v>0</v>
      </c>
      <c r="FH15" s="2" cm="1">
        <f t="array" ref="FH15">INDEX(增益!$A$2:$Q$40,EX15,MATCH(FH$8,增益!$B$1:$Q$1,0)+1)*$AI15</f>
        <v>0</v>
      </c>
      <c r="FO15" s="2" cm="1">
        <f t="array" ref="FO15">INDEX(增益!$A$2:$Q$40,EX15,MATCH(FO$8,增益!$B$1:$Q$1,0)+1)*$AI15</f>
        <v>0</v>
      </c>
      <c r="FP15" s="2" cm="1">
        <f t="array" ref="FP15">INDEX(增益!$A$2:$Q$40,EX15,MATCH(FP$8,增益!$B$1:$Q$1,0)+1)*$AI15</f>
        <v>0</v>
      </c>
      <c r="FQ15" s="2" cm="1">
        <f t="array" ref="FQ15">INDEX(增益!$A$2:$Q$40,EX15,MATCH(FQ$8,增益!$B$1:$Q$1,0)+1)*$AI15</f>
        <v>0</v>
      </c>
      <c r="FS15" s="2" cm="1">
        <f t="array" ref="FS15">INDEX(增益!$A$2:$Q$40,EX15,MATCH(FS$8,增益!$B$1:$Q$1,0)+1)*$AI15</f>
        <v>0</v>
      </c>
      <c r="FU15" s="2" cm="1">
        <f t="array" ref="FU15">INDEX(增益!$A$2:$Q$40,EX15,MATCH(FU$8,增益!$B$1:$Q$1,0)+1)*$AI15</f>
        <v>0</v>
      </c>
      <c r="FV15" s="2" cm="1">
        <f t="array" ref="FV15">INDEX(增益!$A$2:$Q$40,EX15,MATCH(FV$8,增益!$B$1:$Q$1,0)+1)*$AI15</f>
        <v>0</v>
      </c>
      <c r="FZ15" s="2" cm="1">
        <f t="array" ref="FZ15">INDEX(云配队!$J20:$AC20,1,FZ$1)</f>
        <v>0</v>
      </c>
      <c r="GA15" s="2">
        <f>IFERROR(MATCH(FZ15,增益!$A$2:$A$40,FALSE),1)</f>
        <v>1</v>
      </c>
      <c r="GB15" s="2" cm="1">
        <f t="array" ref="GB15">INDEX(增益!$A$2:$Q$40,GA15,MATCH(GB$8,增益!$B$1:$Q$1,0)+1)*$AI15</f>
        <v>0</v>
      </c>
      <c r="GC15" s="2" cm="1">
        <f t="array" ref="GC15">INDEX(增益!$A$2:$Q$40,GA15,MATCH(GC$8,增益!$B$1:$Q$1,0)+1)*$AI15</f>
        <v>0</v>
      </c>
      <c r="GD15" s="2" cm="1">
        <f t="array" ref="GD15">INDEX(增益!$A$2:$Q$40,GA15,MATCH(GD$8,增益!$B$1:$Q$1,0)+1)*$AI15</f>
        <v>0</v>
      </c>
      <c r="GE15" s="2" cm="1">
        <f t="array" ref="GE15">INDEX(增益!$A$2:$Q$40,GA15,MATCH(GE$8,增益!$B$1:$Q$1,0)+1)*$AI15</f>
        <v>0</v>
      </c>
      <c r="GF15" s="2" cm="1">
        <f t="array" ref="GF15">INDEX(增益!$A$2:$Q$40,GA15,MATCH(GF$8,增益!$B$1:$Q$1,0)+1)*$AI15</f>
        <v>0</v>
      </c>
      <c r="GG15" s="2" cm="1">
        <f t="array" ref="GG15">INDEX(增益!$A$2:$Q$40,GA15,MATCH(GG$8,增益!$B$1:$Q$1,0)+1)*$AI15</f>
        <v>0</v>
      </c>
      <c r="GH15" s="2" cm="1">
        <f t="array" ref="GH15">INDEX(增益!$A$2:$Q$40,GA15,MATCH(GH$8,增益!$B$1:$Q$1,0)+1)*$AI15</f>
        <v>0</v>
      </c>
      <c r="GI15" s="2" cm="1">
        <f t="array" ref="GI15">INDEX(增益!$A$2:$Q$40,GA15,MATCH(GI$8,增益!$B$1:$Q$1,0)+1)*$AI15</f>
        <v>0</v>
      </c>
      <c r="GJ15" s="2" cm="1">
        <f t="array" ref="GJ15">INDEX(增益!$A$2:$Q$40,GA15,MATCH(GJ$8,增益!$B$1:$Q$1,0)+1)*$AI15</f>
        <v>0</v>
      </c>
      <c r="GK15" s="2" cm="1">
        <f t="array" ref="GK15">INDEX(增益!$A$2:$Q$40,GA15,MATCH(GK$8,增益!$B$1:$Q$1,0)+1)*$AI15</f>
        <v>0</v>
      </c>
      <c r="GR15" s="2" cm="1">
        <f t="array" ref="GR15">INDEX(增益!$A$2:$Q$40,GA15,MATCH(GR$8,增益!$B$1:$Q$1,0)+1)*$AI15</f>
        <v>0</v>
      </c>
      <c r="GS15" s="2" cm="1">
        <f t="array" ref="GS15">INDEX(增益!$A$2:$Q$40,GA15,MATCH(GS$8,增益!$B$1:$Q$1,0)+1)*$AI15</f>
        <v>0</v>
      </c>
      <c r="GT15" s="2" cm="1">
        <f t="array" ref="GT15">INDEX(增益!$A$2:$Q$40,GA15,MATCH(GT$8,增益!$B$1:$Q$1,0)+1)*$AI15</f>
        <v>0</v>
      </c>
      <c r="GV15" s="2" cm="1">
        <f t="array" ref="GV15">INDEX(增益!$A$2:$Q$40,GA15,MATCH(GV$8,增益!$B$1:$Q$1,0)+1)*$AI15</f>
        <v>0</v>
      </c>
      <c r="GX15" s="2" cm="1">
        <f t="array" ref="GX15">INDEX(增益!$A$2:$Q$40,GA15,MATCH(GX$8,增益!$B$1:$Q$1,0)+1)*$AI15</f>
        <v>0</v>
      </c>
      <c r="GY15" s="2" cm="1">
        <f t="array" ref="GY15">INDEX(增益!$A$2:$Q$40,GA15,MATCH(GY$8,增益!$B$1:$Q$1,0)+1)*$AI15</f>
        <v>0</v>
      </c>
      <c r="HC15" s="2" cm="1">
        <f t="array" ref="HC15">INDEX(云配队!$J20:$AC20,1,HC$1)</f>
        <v>0</v>
      </c>
      <c r="HD15" s="2">
        <f>IFERROR(MATCH(HC15,增益!$A$2:$A$40,FALSE),1)</f>
        <v>1</v>
      </c>
      <c r="HE15" s="2" cm="1">
        <f t="array" ref="HE15">INDEX(增益!$A$2:$Q$40,HD15,MATCH(HE$8,增益!$B$1:$Q$1,0)+1)*$AI15</f>
        <v>0</v>
      </c>
      <c r="HF15" s="2" cm="1">
        <f t="array" ref="HF15">INDEX(增益!$A$2:$Q$40,HD15,MATCH(HF$8,增益!$B$1:$Q$1,0)+1)*$AI15</f>
        <v>0</v>
      </c>
      <c r="HG15" s="2" cm="1">
        <f t="array" ref="HG15">INDEX(增益!$A$2:$Q$40,HD15,MATCH(HG$8,增益!$B$1:$Q$1,0)+1)*$AI15</f>
        <v>0</v>
      </c>
      <c r="HH15" s="2" cm="1">
        <f t="array" ref="HH15">INDEX(增益!$A$2:$Q$40,HD15,MATCH(HH$8,增益!$B$1:$Q$1,0)+1)*$AI15</f>
        <v>0</v>
      </c>
      <c r="HI15" s="2" cm="1">
        <f t="array" ref="HI15">INDEX(增益!$A$2:$Q$40,HD15,MATCH(HI$8,增益!$B$1:$Q$1,0)+1)*$AI15</f>
        <v>0</v>
      </c>
      <c r="HJ15" s="2" cm="1">
        <f t="array" ref="HJ15">INDEX(增益!$A$2:$Q$40,HD15,MATCH(HJ$8,增益!$B$1:$Q$1,0)+1)*$AI15</f>
        <v>0</v>
      </c>
      <c r="HK15" s="2" cm="1">
        <f t="array" ref="HK15">INDEX(增益!$A$2:$Q$40,HD15,MATCH(HK$8,增益!$B$1:$Q$1,0)+1)*$AI15</f>
        <v>0</v>
      </c>
      <c r="HL15" s="2" cm="1">
        <f t="array" ref="HL15">INDEX(增益!$A$2:$Q$40,HD15,MATCH(HL$8,增益!$B$1:$Q$1,0)+1)*$AI15</f>
        <v>0</v>
      </c>
      <c r="HM15" s="2" cm="1">
        <f t="array" ref="HM15">INDEX(增益!$A$2:$Q$40,HD15,MATCH(HM$8,增益!$B$1:$Q$1,0)+1)*$AI15</f>
        <v>0</v>
      </c>
      <c r="HN15" s="2" cm="1">
        <f t="array" ref="HN15">INDEX(增益!$A$2:$Q$40,HD15,MATCH(HN$8,增益!$B$1:$Q$1,0)+1)*$AI15</f>
        <v>0</v>
      </c>
      <c r="HU15" s="2" cm="1">
        <f t="array" ref="HU15">INDEX(增益!$A$2:$Q$40,HD15,MATCH(HU$8,增益!$B$1:$Q$1,0)+1)*$AI15</f>
        <v>0</v>
      </c>
      <c r="HV15" s="2" cm="1">
        <f t="array" ref="HV15">INDEX(增益!$A$2:$Q$40,HD15,MATCH(HV$8,增益!$B$1:$Q$1,0)+1)*$AI15</f>
        <v>0</v>
      </c>
      <c r="HW15" s="2" cm="1">
        <f t="array" ref="HW15">INDEX(增益!$A$2:$Q$40,HD15,MATCH(HW$8,增益!$B$1:$Q$1,0)+1)*$AI15</f>
        <v>0</v>
      </c>
      <c r="HY15" s="2" cm="1">
        <f t="array" ref="HY15">INDEX(增益!$A$2:$Q$40,HD15,MATCH(HY$8,增益!$B$1:$Q$1,0)+1)*$AI15</f>
        <v>0</v>
      </c>
      <c r="IA15" s="2" cm="1">
        <f t="array" ref="IA15">INDEX(增益!$A$2:$Q$40,HD15,MATCH(IA$8,增益!$B$1:$Q$1,0)+1)*$AI15</f>
        <v>0</v>
      </c>
      <c r="IB15" s="2" cm="1">
        <f t="array" ref="IB15">INDEX(增益!$A$2:$Q$40,HD15,MATCH(IB$8,增益!$B$1:$Q$1,0)+1)*$AI15</f>
        <v>0</v>
      </c>
      <c r="IF15" s="2" cm="1">
        <f t="array" ref="IF15">INDEX(云配队!$J20:$AC20,1,IF$1)</f>
        <v>0</v>
      </c>
      <c r="IG15" s="2">
        <f>IFERROR(MATCH(IF15,增益!$A$2:$A$40,FALSE),1)</f>
        <v>1</v>
      </c>
      <c r="IH15" s="2" cm="1">
        <f t="array" ref="IH15">INDEX(增益!$A$2:$Q$40,IG15,MATCH(IH$8,增益!$B$1:$Q$1,0)+1)*$AI15</f>
        <v>0</v>
      </c>
      <c r="II15" s="2" cm="1">
        <f t="array" ref="II15">INDEX(增益!$A$2:$Q$40,IG15,MATCH(II$8,增益!$B$1:$Q$1,0)+1)*$AI15</f>
        <v>0</v>
      </c>
      <c r="IJ15" s="2" cm="1">
        <f t="array" ref="IJ15">INDEX(增益!$A$2:$Q$40,IG15,MATCH(IJ$8,增益!$B$1:$Q$1,0)+1)*$AI15</f>
        <v>0</v>
      </c>
      <c r="IK15" s="2" cm="1">
        <f t="array" ref="IK15">INDEX(增益!$A$2:$Q$40,IG15,MATCH(IK$8,增益!$B$1:$Q$1,0)+1)*$AI15</f>
        <v>0</v>
      </c>
      <c r="IL15" s="2" cm="1">
        <f t="array" ref="IL15">INDEX(增益!$A$2:$Q$40,IG15,MATCH(IL$8,增益!$B$1:$Q$1,0)+1)*$AI15</f>
        <v>0</v>
      </c>
      <c r="IM15" s="2" cm="1">
        <f t="array" ref="IM15">INDEX(增益!$A$2:$Q$40,IG15,MATCH(IM$8,增益!$B$1:$Q$1,0)+1)*$AI15</f>
        <v>0</v>
      </c>
      <c r="IN15" s="2" cm="1">
        <f t="array" ref="IN15">INDEX(增益!$A$2:$Q$40,IG15,MATCH(IN$8,增益!$B$1:$Q$1,0)+1)*$AI15</f>
        <v>0</v>
      </c>
      <c r="IO15" s="2" cm="1">
        <f t="array" ref="IO15">INDEX(增益!$A$2:$Q$40,IG15,MATCH(IO$8,增益!$B$1:$Q$1,0)+1)*$AI15</f>
        <v>0</v>
      </c>
      <c r="IP15" s="2" cm="1">
        <f t="array" ref="IP15">INDEX(增益!$A$2:$Q$40,IG15,MATCH(IP$8,增益!$B$1:$Q$1,0)+1)*$AI15</f>
        <v>0</v>
      </c>
      <c r="IQ15" s="2" cm="1">
        <f t="array" ref="IQ15">INDEX(增益!$A$2:$Q$40,IG15,MATCH(IQ$8,增益!$B$1:$Q$1,0)+1)*$AI15</f>
        <v>0</v>
      </c>
      <c r="IX15" s="2" cm="1">
        <f t="array" ref="IX15">INDEX(增益!$A$2:$Q$40,IG15,MATCH(IX$8,增益!$B$1:$Q$1,0)+1)*$AI15</f>
        <v>0</v>
      </c>
      <c r="IY15" s="2" cm="1">
        <f t="array" ref="IY15">INDEX(增益!$A$2:$Q$40,IG15,MATCH(IY$8,增益!$B$1:$Q$1,0)+1)*$AI15</f>
        <v>0</v>
      </c>
      <c r="IZ15" s="2" cm="1">
        <f t="array" ref="IZ15">INDEX(增益!$A$2:$Q$40,IG15,MATCH(IZ$8,增益!$B$1:$Q$1,0)+1)*$AI15</f>
        <v>0</v>
      </c>
      <c r="JB15" s="2" cm="1">
        <f t="array" ref="JB15">INDEX(增益!$A$2:$Q$40,IG15,MATCH(JB$8,增益!$B$1:$Q$1,0)+1)*$AI15</f>
        <v>0</v>
      </c>
      <c r="JD15" s="2" cm="1">
        <f t="array" ref="JD15">INDEX(增益!$A$2:$Q$40,IG15,MATCH(JD$8,增益!$B$1:$Q$1,0)+1)*$AI15</f>
        <v>0</v>
      </c>
      <c r="JE15" s="2" cm="1">
        <f t="array" ref="JE15">INDEX(增益!$A$2:$Q$40,IG15,MATCH(JE$8,增益!$B$1:$Q$1,0)+1)*$AI15</f>
        <v>0</v>
      </c>
      <c r="JI15" s="2" cm="1">
        <f t="array" ref="JI15">INDEX(云配队!$J20:$AC20,1,JI$1)</f>
        <v>0</v>
      </c>
      <c r="JJ15" s="2">
        <f>IFERROR(MATCH(JI15,增益!$A$2:$A$40,FALSE),1)</f>
        <v>1</v>
      </c>
      <c r="JK15" s="2" cm="1">
        <f t="array" ref="JK15">INDEX(增益!$A$2:$Q$40,JJ15,MATCH(JK$8,增益!$B$1:$Q$1,0)+1)*$AI15</f>
        <v>0</v>
      </c>
      <c r="JL15" s="2" cm="1">
        <f t="array" ref="JL15">INDEX(增益!$A$2:$Q$40,JJ15,MATCH(JL$8,增益!$B$1:$Q$1,0)+1)*$AI15</f>
        <v>0</v>
      </c>
      <c r="JM15" s="2" cm="1">
        <f t="array" ref="JM15">INDEX(增益!$A$2:$Q$40,JJ15,MATCH(JM$8,增益!$B$1:$Q$1,0)+1)*$AI15</f>
        <v>0</v>
      </c>
      <c r="JN15" s="2" cm="1">
        <f t="array" ref="JN15">INDEX(增益!$A$2:$Q$40,JJ15,MATCH(JN$8,增益!$B$1:$Q$1,0)+1)*$AI15</f>
        <v>0</v>
      </c>
      <c r="JO15" s="2" cm="1">
        <f t="array" ref="JO15">INDEX(增益!$A$2:$Q$40,JJ15,MATCH(JO$8,增益!$B$1:$Q$1,0)+1)*$AI15</f>
        <v>0</v>
      </c>
      <c r="JP15" s="2" cm="1">
        <f t="array" ref="JP15">INDEX(增益!$A$2:$Q$40,JJ15,MATCH(JP$8,增益!$B$1:$Q$1,0)+1)*$AI15</f>
        <v>0</v>
      </c>
      <c r="JQ15" s="2" cm="1">
        <f t="array" ref="JQ15">INDEX(增益!$A$2:$Q$40,JJ15,MATCH(JQ$8,增益!$B$1:$Q$1,0)+1)*$AI15</f>
        <v>0</v>
      </c>
      <c r="JR15" s="2" cm="1">
        <f t="array" ref="JR15">INDEX(增益!$A$2:$Q$40,JJ15,MATCH(JR$8,增益!$B$1:$Q$1,0)+1)*$AI15</f>
        <v>0</v>
      </c>
      <c r="JS15" s="2" cm="1">
        <f t="array" ref="JS15">INDEX(增益!$A$2:$Q$40,JJ15,MATCH(JS$8,增益!$B$1:$Q$1,0)+1)*$AI15</f>
        <v>0</v>
      </c>
      <c r="JT15" s="2" cm="1">
        <f t="array" ref="JT15">INDEX(增益!$A$2:$Q$40,JJ15,MATCH(JT$8,增益!$B$1:$Q$1,0)+1)*$AI15</f>
        <v>0</v>
      </c>
      <c r="KA15" s="2" cm="1">
        <f t="array" ref="KA15">INDEX(增益!$A$2:$Q$40,JJ15,MATCH(KA$8,增益!$B$1:$Q$1,0)+1)*$AI15</f>
        <v>0</v>
      </c>
      <c r="KB15" s="2" cm="1">
        <f t="array" ref="KB15">INDEX(增益!$A$2:$Q$40,JJ15,MATCH(KB$8,增益!$B$1:$Q$1,0)+1)*$AI15</f>
        <v>0</v>
      </c>
      <c r="KC15" s="2" cm="1">
        <f t="array" ref="KC15">INDEX(增益!$A$2:$Q$40,JJ15,MATCH(KC$8,增益!$B$1:$Q$1,0)+1)*$AI15</f>
        <v>0</v>
      </c>
      <c r="KE15" s="2" cm="1">
        <f t="array" ref="KE15">INDEX(增益!$A$2:$Q$40,JJ15,MATCH(KE$8,增益!$B$1:$Q$1,0)+1)*$AI15</f>
        <v>0</v>
      </c>
      <c r="KG15" s="2" cm="1">
        <f t="array" ref="KG15">INDEX(增益!$A$2:$Q$40,JJ15,MATCH(KG$8,增益!$B$1:$Q$1,0)+1)*$AI15</f>
        <v>0</v>
      </c>
      <c r="KH15" s="2" cm="1">
        <f t="array" ref="KH15">INDEX(增益!$A$2:$Q$40,JJ15,MATCH(KH$8,增益!$B$1:$Q$1,0)+1)*$AI15</f>
        <v>0</v>
      </c>
      <c r="KL15" s="2" cm="1">
        <f t="array" ref="KL15">INDEX(云配队!$J20:$AC20,1,KL$1)</f>
        <v>0</v>
      </c>
      <c r="KM15" s="2">
        <f>IFERROR(MATCH(KL15,增益!$A$2:$A$40,FALSE),1)</f>
        <v>1</v>
      </c>
      <c r="KN15" s="2" cm="1">
        <f t="array" ref="KN15">INDEX(增益!$A$2:$Q$40,KM15,MATCH(KN$8,增益!$B$1:$Q$1,0)+1)*$AI15</f>
        <v>0</v>
      </c>
      <c r="KO15" s="2" cm="1">
        <f t="array" ref="KO15">INDEX(增益!$A$2:$Q$40,KM15,MATCH(KO$8,增益!$B$1:$Q$1,0)+1)*$AI15</f>
        <v>0</v>
      </c>
      <c r="KP15" s="2" cm="1">
        <f t="array" ref="KP15">INDEX(增益!$A$2:$Q$40,KM15,MATCH(KP$8,增益!$B$1:$Q$1,0)+1)*$AI15</f>
        <v>0</v>
      </c>
      <c r="KQ15" s="2" cm="1">
        <f t="array" ref="KQ15">INDEX(增益!$A$2:$Q$40,KM15,MATCH(KQ$8,增益!$B$1:$Q$1,0)+1)*$AI15</f>
        <v>0</v>
      </c>
      <c r="KR15" s="2" cm="1">
        <f t="array" ref="KR15">INDEX(增益!$A$2:$Q$40,KM15,MATCH(KR$8,增益!$B$1:$Q$1,0)+1)*$AI15</f>
        <v>0</v>
      </c>
      <c r="KS15" s="2" cm="1">
        <f t="array" ref="KS15">INDEX(增益!$A$2:$Q$40,KM15,MATCH(KS$8,增益!$B$1:$Q$1,0)+1)*$AI15</f>
        <v>0</v>
      </c>
      <c r="KT15" s="2" cm="1">
        <f t="array" ref="KT15">INDEX(增益!$A$2:$Q$40,KM15,MATCH(KT$8,增益!$B$1:$Q$1,0)+1)*$AI15</f>
        <v>0</v>
      </c>
      <c r="KU15" s="2" cm="1">
        <f t="array" ref="KU15">INDEX(增益!$A$2:$Q$40,KM15,MATCH(KU$8,增益!$B$1:$Q$1,0)+1)*$AI15</f>
        <v>0</v>
      </c>
      <c r="KV15" s="2" cm="1">
        <f t="array" ref="KV15">INDEX(增益!$A$2:$Q$40,KM15,MATCH(KV$8,增益!$B$1:$Q$1,0)+1)*$AI15</f>
        <v>0</v>
      </c>
      <c r="KW15" s="2" cm="1">
        <f t="array" ref="KW15">INDEX(增益!$A$2:$Q$40,KM15,MATCH(KW$8,增益!$B$1:$Q$1,0)+1)*$AI15</f>
        <v>0</v>
      </c>
      <c r="LD15" s="2" cm="1">
        <f t="array" ref="LD15">INDEX(增益!$A$2:$Q$40,KM15,MATCH(LD$8,增益!$B$1:$Q$1,0)+1)*$AI15</f>
        <v>0</v>
      </c>
      <c r="LE15" s="2" cm="1">
        <f t="array" ref="LE15">INDEX(增益!$A$2:$Q$40,KM15,MATCH(LE$8,增益!$B$1:$Q$1,0)+1)*$AI15</f>
        <v>0</v>
      </c>
      <c r="LF15" s="2" cm="1">
        <f t="array" ref="LF15">INDEX(增益!$A$2:$Q$40,KM15,MATCH(LF$8,增益!$B$1:$Q$1,0)+1)*$AI15</f>
        <v>0</v>
      </c>
      <c r="LH15" s="2" cm="1">
        <f t="array" ref="LH15">INDEX(增益!$A$2:$Q$40,KM15,MATCH(LH$8,增益!$B$1:$Q$1,0)+1)*$AI15</f>
        <v>0</v>
      </c>
      <c r="LJ15" s="2" cm="1">
        <f t="array" ref="LJ15">INDEX(增益!$A$2:$Q$40,KM15,MATCH(LJ$8,增益!$B$1:$Q$1,0)+1)*$AI15</f>
        <v>0</v>
      </c>
      <c r="LK15" s="2" cm="1">
        <f t="array" ref="LK15">INDEX(增益!$A$2:$Q$40,KM15,MATCH(LK$8,增益!$B$1:$Q$1,0)+1)*$AI15</f>
        <v>0</v>
      </c>
      <c r="LO15" s="2" cm="1">
        <f t="array" ref="LO15">INDEX(云配队!$J20:$AC20,1,LO$1)</f>
        <v>0</v>
      </c>
      <c r="LP15" s="2">
        <f>IFERROR(MATCH(LO15,增益!$A$2:$A$40,FALSE),1)</f>
        <v>1</v>
      </c>
      <c r="LQ15" s="2" cm="1">
        <f t="array" ref="LQ15">INDEX(增益!$A$2:$Q$40,LP15,MATCH(LQ$8,增益!$B$1:$Q$1,0)+1)*$AI15</f>
        <v>0</v>
      </c>
      <c r="LR15" s="2" cm="1">
        <f t="array" ref="LR15">INDEX(增益!$A$2:$Q$40,LP15,MATCH(LR$8,增益!$B$1:$Q$1,0)+1)*$AI15</f>
        <v>0</v>
      </c>
      <c r="LS15" s="2" cm="1">
        <f t="array" ref="LS15">INDEX(增益!$A$2:$Q$40,LP15,MATCH(LS$8,增益!$B$1:$Q$1,0)+1)*$AI15</f>
        <v>0</v>
      </c>
      <c r="LT15" s="2" cm="1">
        <f t="array" ref="LT15">INDEX(增益!$A$2:$Q$40,LP15,MATCH(LT$8,增益!$B$1:$Q$1,0)+1)*$AI15</f>
        <v>0</v>
      </c>
      <c r="LU15" s="2" cm="1">
        <f t="array" ref="LU15">INDEX(增益!$A$2:$Q$40,LP15,MATCH(LU$8,增益!$B$1:$Q$1,0)+1)*$AI15</f>
        <v>0</v>
      </c>
      <c r="LV15" s="2" cm="1">
        <f t="array" ref="LV15">INDEX(增益!$A$2:$Q$40,LP15,MATCH(LV$8,增益!$B$1:$Q$1,0)+1)*$AI15</f>
        <v>0</v>
      </c>
      <c r="LW15" s="2" cm="1">
        <f t="array" ref="LW15">INDEX(增益!$A$2:$Q$40,LP15,MATCH(LW$8,增益!$B$1:$Q$1,0)+1)*$AI15</f>
        <v>0</v>
      </c>
      <c r="LX15" s="2" cm="1">
        <f t="array" ref="LX15">INDEX(增益!$A$2:$Q$40,LP15,MATCH(LX$8,增益!$B$1:$Q$1,0)+1)*$AI15</f>
        <v>0</v>
      </c>
      <c r="LY15" s="2" cm="1">
        <f t="array" ref="LY15">INDEX(增益!$A$2:$Q$40,LP15,MATCH(LY$8,增益!$B$1:$Q$1,0)+1)*$AI15</f>
        <v>0</v>
      </c>
      <c r="LZ15" s="2" cm="1">
        <f t="array" ref="LZ15">INDEX(增益!$A$2:$Q$40,LP15,MATCH(LZ$8,增益!$B$1:$Q$1,0)+1)*$AI15</f>
        <v>0</v>
      </c>
      <c r="MG15" s="2" cm="1">
        <f t="array" ref="MG15">INDEX(增益!$A$2:$Q$40,LP15,MATCH(MG$8,增益!$B$1:$Q$1,0)+1)*$AI15</f>
        <v>0</v>
      </c>
      <c r="MH15" s="2" cm="1">
        <f t="array" ref="MH15">INDEX(增益!$A$2:$Q$40,LP15,MATCH(MH$8,增益!$B$1:$Q$1,0)+1)*$AI15</f>
        <v>0</v>
      </c>
      <c r="MI15" s="2" cm="1">
        <f t="array" ref="MI15">INDEX(增益!$A$2:$Q$40,LP15,MATCH(MI$8,增益!$B$1:$Q$1,0)+1)*$AI15</f>
        <v>0</v>
      </c>
      <c r="MK15" s="2" cm="1">
        <f t="array" ref="MK15">INDEX(增益!$A$2:$Q$40,LP15,MATCH(MK$8,增益!$B$1:$Q$1,0)+1)*$AI15</f>
        <v>0</v>
      </c>
      <c r="MM15" s="2" cm="1">
        <f t="array" ref="MM15">INDEX(增益!$A$2:$Q$40,LP15,MATCH(MM$8,增益!$B$1:$Q$1,0)+1)*$AI15</f>
        <v>0</v>
      </c>
      <c r="MN15" s="2" cm="1">
        <f t="array" ref="MN15">INDEX(增益!$A$2:$Q$40,LP15,MATCH(MN$8,增益!$B$1:$Q$1,0)+1)*$AI15</f>
        <v>0</v>
      </c>
      <c r="MR15" s="2" cm="1">
        <f t="array" ref="MR15">INDEX(云配队!$J20:$AC20,1,MR$1)</f>
        <v>0</v>
      </c>
      <c r="MS15" s="2">
        <f>IFERROR(MATCH(MR15,增益!$A$2:$A$40,FALSE),1)</f>
        <v>1</v>
      </c>
      <c r="MT15" s="2" cm="1">
        <f t="array" ref="MT15">INDEX(增益!$A$2:$Q$40,MS15,MATCH(MT$8,增益!$B$1:$Q$1,0)+1)*$AI15</f>
        <v>0</v>
      </c>
      <c r="MU15" s="2" cm="1">
        <f t="array" ref="MU15">INDEX(增益!$A$2:$Q$40,MS15,MATCH(MU$8,增益!$B$1:$Q$1,0)+1)*$AI15</f>
        <v>0</v>
      </c>
      <c r="MV15" s="2" cm="1">
        <f t="array" ref="MV15">INDEX(增益!$A$2:$Q$40,MS15,MATCH(MV$8,增益!$B$1:$Q$1,0)+1)*$AI15</f>
        <v>0</v>
      </c>
      <c r="MW15" s="2" cm="1">
        <f t="array" ref="MW15">INDEX(增益!$A$2:$Q$40,MS15,MATCH(MW$8,增益!$B$1:$Q$1,0)+1)*$AI15</f>
        <v>0</v>
      </c>
      <c r="MX15" s="2" cm="1">
        <f t="array" ref="MX15">INDEX(增益!$A$2:$Q$40,MS15,MATCH(MX$8,增益!$B$1:$Q$1,0)+1)*$AI15</f>
        <v>0</v>
      </c>
      <c r="MY15" s="2" cm="1">
        <f t="array" ref="MY15">INDEX(增益!$A$2:$Q$40,MS15,MATCH(MY$8,增益!$B$1:$Q$1,0)+1)*$AI15</f>
        <v>0</v>
      </c>
      <c r="MZ15" s="2" cm="1">
        <f t="array" ref="MZ15">INDEX(增益!$A$2:$Q$40,MS15,MATCH(MZ$8,增益!$B$1:$Q$1,0)+1)*$AI15</f>
        <v>0</v>
      </c>
      <c r="NA15" s="2" cm="1">
        <f t="array" ref="NA15">INDEX(增益!$A$2:$Q$40,MS15,MATCH(NA$8,增益!$B$1:$Q$1,0)+1)*$AI15</f>
        <v>0</v>
      </c>
      <c r="NB15" s="2" cm="1">
        <f t="array" ref="NB15">INDEX(增益!$A$2:$Q$40,MS15,MATCH(NB$8,增益!$B$1:$Q$1,0)+1)*$AI15</f>
        <v>0</v>
      </c>
      <c r="NC15" s="2" cm="1">
        <f t="array" ref="NC15">INDEX(增益!$A$2:$Q$40,MS15,MATCH(NC$8,增益!$B$1:$Q$1,0)+1)*$AI15</f>
        <v>0</v>
      </c>
      <c r="NJ15" s="2" cm="1">
        <f t="array" ref="NJ15">INDEX(增益!$A$2:$Q$40,MS15,MATCH(NJ$8,增益!$B$1:$Q$1,0)+1)*$AI15</f>
        <v>0</v>
      </c>
      <c r="NK15" s="2" cm="1">
        <f t="array" ref="NK15">INDEX(增益!$A$2:$Q$40,MS15,MATCH(NK$8,增益!$B$1:$Q$1,0)+1)*$AI15</f>
        <v>0</v>
      </c>
      <c r="NL15" s="2" cm="1">
        <f t="array" ref="NL15">INDEX(增益!$A$2:$Q$40,MS15,MATCH(NL$8,增益!$B$1:$Q$1,0)+1)*$AI15</f>
        <v>0</v>
      </c>
      <c r="NN15" s="2" cm="1">
        <f t="array" ref="NN15">INDEX(增益!$A$2:$Q$40,MS15,MATCH(NN$8,增益!$B$1:$Q$1,0)+1)*$AI15</f>
        <v>0</v>
      </c>
      <c r="NP15" s="2" cm="1">
        <f t="array" ref="NP15">INDEX(增益!$A$2:$Q$40,MS15,MATCH(NP$8,增益!$B$1:$Q$1,0)+1)*$AI15</f>
        <v>0</v>
      </c>
      <c r="NQ15" s="2" cm="1">
        <f t="array" ref="NQ15">INDEX(增益!$A$2:$Q$40,MS15,MATCH(NQ$8,增益!$B$1:$Q$1,0)+1)*$AI15</f>
        <v>0</v>
      </c>
      <c r="NU15" s="2" cm="1">
        <f t="array" ref="NU15">INDEX(云配队!$J20:$AC20,1,NU$1)</f>
        <v>0</v>
      </c>
      <c r="NV15" s="2">
        <f>IFERROR(MATCH(NU15,增益!$A$2:$A$40,FALSE),1)</f>
        <v>1</v>
      </c>
      <c r="NW15" s="2" cm="1">
        <f t="array" ref="NW15">INDEX(增益!$A$2:$Q$40,NV15,MATCH(NW$8,增益!$B$1:$Q$1,0)+1)*$AI15</f>
        <v>0</v>
      </c>
      <c r="NX15" s="2" cm="1">
        <f t="array" ref="NX15">INDEX(增益!$A$2:$Q$40,NV15,MATCH(NX$8,增益!$B$1:$Q$1,0)+1)*$AI15</f>
        <v>0</v>
      </c>
      <c r="NY15" s="2" cm="1">
        <f t="array" ref="NY15">INDEX(增益!$A$2:$Q$40,NV15,MATCH(NY$8,增益!$B$1:$Q$1,0)+1)*$AI15</f>
        <v>0</v>
      </c>
      <c r="NZ15" s="2" cm="1">
        <f t="array" ref="NZ15">INDEX(增益!$A$2:$Q$40,NV15,MATCH(NZ$8,增益!$B$1:$Q$1,0)+1)*$AI15</f>
        <v>0</v>
      </c>
      <c r="OA15" s="2" cm="1">
        <f t="array" ref="OA15">INDEX(增益!$A$2:$Q$40,NV15,MATCH(OA$8,增益!$B$1:$Q$1,0)+1)*$AI15</f>
        <v>0</v>
      </c>
      <c r="OB15" s="2" cm="1">
        <f t="array" ref="OB15">INDEX(增益!$A$2:$Q$40,NV15,MATCH(OB$8,增益!$B$1:$Q$1,0)+1)*$AI15</f>
        <v>0</v>
      </c>
      <c r="OC15" s="2" cm="1">
        <f t="array" ref="OC15">INDEX(增益!$A$2:$Q$40,NV15,MATCH(OC$8,增益!$B$1:$Q$1,0)+1)*$AI15</f>
        <v>0</v>
      </c>
      <c r="OD15" s="2" cm="1">
        <f t="array" ref="OD15">INDEX(增益!$A$2:$Q$40,NV15,MATCH(OD$8,增益!$B$1:$Q$1,0)+1)*$AI15</f>
        <v>0</v>
      </c>
      <c r="OE15" s="2" cm="1">
        <f t="array" ref="OE15">INDEX(增益!$A$2:$Q$40,NV15,MATCH(OE$8,增益!$B$1:$Q$1,0)+1)*$AI15</f>
        <v>0</v>
      </c>
      <c r="OF15" s="2" cm="1">
        <f t="array" ref="OF15">INDEX(增益!$A$2:$Q$40,NV15,MATCH(OF$8,增益!$B$1:$Q$1,0)+1)*$AI15</f>
        <v>0</v>
      </c>
      <c r="OM15" s="2" cm="1">
        <f t="array" ref="OM15">INDEX(增益!$A$2:$Q$40,NV15,MATCH(OM$8,增益!$B$1:$Q$1,0)+1)*$AI15</f>
        <v>0</v>
      </c>
      <c r="ON15" s="2" cm="1">
        <f t="array" ref="ON15">INDEX(增益!$A$2:$Q$40,NV15,MATCH(ON$8,增益!$B$1:$Q$1,0)+1)*$AI15</f>
        <v>0</v>
      </c>
      <c r="OO15" s="2" cm="1">
        <f t="array" ref="OO15">INDEX(增益!$A$2:$Q$40,NV15,MATCH(OO$8,增益!$B$1:$Q$1,0)+1)*$AI15</f>
        <v>0</v>
      </c>
      <c r="OQ15" s="2" cm="1">
        <f t="array" ref="OQ15">INDEX(增益!$A$2:$Q$40,NV15,MATCH(OQ$8,增益!$B$1:$Q$1,0)+1)*$AI15</f>
        <v>0</v>
      </c>
      <c r="OS15" s="2" cm="1">
        <f t="array" ref="OS15">INDEX(增益!$A$2:$Q$40,NV15,MATCH(OS$8,增益!$B$1:$Q$1,0)+1)*$AI15</f>
        <v>0</v>
      </c>
      <c r="OT15" s="2" cm="1">
        <f t="array" ref="OT15">INDEX(增益!$A$2:$Q$40,NV15,MATCH(OT$8,增益!$B$1:$Q$1,0)+1)*$AI15</f>
        <v>0</v>
      </c>
      <c r="OX15" s="2" cm="1">
        <f t="array" ref="OX15">INDEX(云配队!$J20:$AC20,1,OX$1)</f>
        <v>0</v>
      </c>
      <c r="OY15" s="2">
        <f>IFERROR(MATCH(OX15,增益!$A$2:$A$40,FALSE),1)</f>
        <v>1</v>
      </c>
      <c r="OZ15" s="2" cm="1">
        <f t="array" ref="OZ15">INDEX(增益!$A$2:$Q$40,OY15,MATCH(OZ$8,增益!$B$1:$Q$1,0)+1)*$AI15</f>
        <v>0</v>
      </c>
      <c r="PA15" s="2" cm="1">
        <f t="array" ref="PA15">INDEX(增益!$A$2:$Q$40,OY15,MATCH(PA$8,增益!$B$1:$Q$1,0)+1)*$AI15</f>
        <v>0</v>
      </c>
      <c r="PB15" s="2" cm="1">
        <f t="array" ref="PB15">INDEX(增益!$A$2:$Q$40,OY15,MATCH(PB$8,增益!$B$1:$Q$1,0)+1)*$AI15</f>
        <v>0</v>
      </c>
      <c r="PC15" s="2" cm="1">
        <f t="array" ref="PC15">INDEX(增益!$A$2:$Q$40,OY15,MATCH(PC$8,增益!$B$1:$Q$1,0)+1)*$AI15</f>
        <v>0</v>
      </c>
      <c r="PD15" s="2" cm="1">
        <f t="array" ref="PD15">INDEX(增益!$A$2:$Q$40,OY15,MATCH(PD$8,增益!$B$1:$Q$1,0)+1)*$AI15</f>
        <v>0</v>
      </c>
      <c r="PE15" s="2" cm="1">
        <f t="array" ref="PE15">INDEX(增益!$A$2:$Q$40,OY15,MATCH(PE$8,增益!$B$1:$Q$1,0)+1)*$AI15</f>
        <v>0</v>
      </c>
      <c r="PF15" s="2" cm="1">
        <f t="array" ref="PF15">INDEX(增益!$A$2:$Q$40,OY15,MATCH(PF$8,增益!$B$1:$Q$1,0)+1)*$AI15</f>
        <v>0</v>
      </c>
      <c r="PG15" s="2" cm="1">
        <f t="array" ref="PG15">INDEX(增益!$A$2:$Q$40,OY15,MATCH(PG$8,增益!$B$1:$Q$1,0)+1)*$AI15</f>
        <v>0</v>
      </c>
      <c r="PH15" s="2" cm="1">
        <f t="array" ref="PH15">INDEX(增益!$A$2:$Q$40,OY15,MATCH(PH$8,增益!$B$1:$Q$1,0)+1)*$AI15</f>
        <v>0</v>
      </c>
      <c r="PI15" s="2" cm="1">
        <f t="array" ref="PI15">INDEX(增益!$A$2:$Q$40,OY15,MATCH(PI$8,增益!$B$1:$Q$1,0)+1)*$AI15</f>
        <v>0</v>
      </c>
      <c r="PP15" s="2" cm="1">
        <f t="array" ref="PP15">INDEX(增益!$A$2:$Q$40,OY15,MATCH(PP$8,增益!$B$1:$Q$1,0)+1)*$AI15</f>
        <v>0</v>
      </c>
      <c r="PQ15" s="2" cm="1">
        <f t="array" ref="PQ15">INDEX(增益!$A$2:$Q$40,OY15,MATCH(PQ$8,增益!$B$1:$Q$1,0)+1)*$AI15</f>
        <v>0</v>
      </c>
      <c r="PR15" s="2" cm="1">
        <f t="array" ref="PR15">INDEX(增益!$A$2:$Q$40,OY15,MATCH(PR$8,增益!$B$1:$Q$1,0)+1)*$AI15</f>
        <v>0</v>
      </c>
      <c r="PT15" s="2" cm="1">
        <f t="array" ref="PT15">INDEX(增益!$A$2:$Q$40,OY15,MATCH(PT$8,增益!$B$1:$Q$1,0)+1)*$AI15</f>
        <v>0</v>
      </c>
      <c r="PV15" s="2" cm="1">
        <f t="array" ref="PV15">INDEX(增益!$A$2:$Q$40,OY15,MATCH(PV$8,增益!$B$1:$Q$1,0)+1)*$AI15</f>
        <v>0</v>
      </c>
      <c r="PW15" s="2" cm="1">
        <f t="array" ref="PW15">INDEX(增益!$A$2:$Q$40,OY15,MATCH(PW$8,增益!$B$1:$Q$1,0)+1)*$AI15</f>
        <v>0</v>
      </c>
      <c r="QA15" s="2" cm="1">
        <f t="array" ref="QA15">INDEX(云配队!$J20:$AC20,1,QA$1)</f>
        <v>0</v>
      </c>
      <c r="QB15" s="2">
        <f>IFERROR(MATCH(QA15,增益!$A$2:$A$40,FALSE),1)</f>
        <v>1</v>
      </c>
      <c r="QC15" s="2" cm="1">
        <f t="array" ref="QC15">INDEX(增益!$A$2:$Q$40,QB15,MATCH(QC$8,增益!$B$1:$Q$1,0)+1)*$AI15</f>
        <v>0</v>
      </c>
      <c r="QD15" s="2" cm="1">
        <f t="array" ref="QD15">INDEX(增益!$A$2:$Q$40,QB15,MATCH(QD$8,增益!$B$1:$Q$1,0)+1)*$AI15</f>
        <v>0</v>
      </c>
      <c r="QE15" s="2" cm="1">
        <f t="array" ref="QE15">INDEX(增益!$A$2:$Q$40,QB15,MATCH(QE$8,增益!$B$1:$Q$1,0)+1)*$AI15</f>
        <v>0</v>
      </c>
      <c r="QF15" s="2" cm="1">
        <f t="array" ref="QF15">INDEX(增益!$A$2:$Q$40,QB15,MATCH(QF$8,增益!$B$1:$Q$1,0)+1)*$AI15</f>
        <v>0</v>
      </c>
      <c r="QG15" s="2" cm="1">
        <f t="array" ref="QG15">INDEX(增益!$A$2:$Q$40,QB15,MATCH(QG$8,增益!$B$1:$Q$1,0)+1)*$AI15</f>
        <v>0</v>
      </c>
      <c r="QH15" s="2" cm="1">
        <f t="array" ref="QH15">INDEX(增益!$A$2:$Q$40,QB15,MATCH(QH$8,增益!$B$1:$Q$1,0)+1)*$AI15</f>
        <v>0</v>
      </c>
      <c r="QI15" s="2" cm="1">
        <f t="array" ref="QI15">INDEX(增益!$A$2:$Q$40,QB15,MATCH(QI$8,增益!$B$1:$Q$1,0)+1)*$AI15</f>
        <v>0</v>
      </c>
      <c r="QJ15" s="2" cm="1">
        <f t="array" ref="QJ15">INDEX(增益!$A$2:$Q$40,QB15,MATCH(QJ$8,增益!$B$1:$Q$1,0)+1)*$AI15</f>
        <v>0</v>
      </c>
      <c r="QK15" s="2" cm="1">
        <f t="array" ref="QK15">INDEX(增益!$A$2:$Q$40,QB15,MATCH(QK$8,增益!$B$1:$Q$1,0)+1)*$AI15</f>
        <v>0</v>
      </c>
      <c r="QL15" s="2" cm="1">
        <f t="array" ref="QL15">INDEX(增益!$A$2:$Q$40,QB15,MATCH(QL$8,增益!$B$1:$Q$1,0)+1)*$AI15</f>
        <v>0</v>
      </c>
      <c r="QS15" s="2" cm="1">
        <f t="array" ref="QS15">INDEX(增益!$A$2:$Q$40,QB15,MATCH(QS$8,增益!$B$1:$Q$1,0)+1)*$AI15</f>
        <v>0</v>
      </c>
      <c r="QT15" s="2" cm="1">
        <f t="array" ref="QT15">INDEX(增益!$A$2:$Q$40,QB15,MATCH(QT$8,增益!$B$1:$Q$1,0)+1)*$AI15</f>
        <v>0</v>
      </c>
      <c r="QU15" s="2" cm="1">
        <f t="array" ref="QU15">INDEX(增益!$A$2:$Q$40,QB15,MATCH(QU$8,增益!$B$1:$Q$1,0)+1)*$AI15</f>
        <v>0</v>
      </c>
      <c r="QW15" s="2" cm="1">
        <f t="array" ref="QW15">INDEX(增益!$A$2:$Q$40,QB15,MATCH(QW$8,增益!$B$1:$Q$1,0)+1)*$AI15</f>
        <v>0</v>
      </c>
      <c r="QY15" s="2" cm="1">
        <f t="array" ref="QY15">INDEX(增益!$A$2:$Q$40,QB15,MATCH(QY$8,增益!$B$1:$Q$1,0)+1)*$AI15</f>
        <v>0</v>
      </c>
      <c r="QZ15" s="2" cm="1">
        <f t="array" ref="QZ15">INDEX(增益!$A$2:$Q$40,QB15,MATCH(QZ$8,增益!$B$1:$Q$1,0)+1)*$AI15</f>
        <v>0</v>
      </c>
      <c r="RD15" s="2" cm="1">
        <f t="array" ref="RD15">INDEX(云配队!$J20:$AC20,1,RD$1)</f>
        <v>0</v>
      </c>
      <c r="RE15" s="2">
        <f>IFERROR(MATCH(RD15,增益!$A$2:$A$40,FALSE),1)</f>
        <v>1</v>
      </c>
      <c r="RF15" s="2" cm="1">
        <f t="array" ref="RF15">INDEX(增益!$A$2:$Q$40,RE15,MATCH(RF$8,增益!$B$1:$Q$1,0)+1)*$AI15</f>
        <v>0</v>
      </c>
      <c r="RG15" s="2" cm="1">
        <f t="array" ref="RG15">INDEX(增益!$A$2:$Q$40,RE15,MATCH(RG$8,增益!$B$1:$Q$1,0)+1)*$AI15</f>
        <v>0</v>
      </c>
      <c r="RH15" s="2" cm="1">
        <f t="array" ref="RH15">INDEX(增益!$A$2:$Q$40,RE15,MATCH(RH$8,增益!$B$1:$Q$1,0)+1)*$AI15</f>
        <v>0</v>
      </c>
      <c r="RI15" s="2" cm="1">
        <f t="array" ref="RI15">INDEX(增益!$A$2:$Q$40,RE15,MATCH(RI$8,增益!$B$1:$Q$1,0)+1)*$AI15</f>
        <v>0</v>
      </c>
      <c r="RJ15" s="2" cm="1">
        <f t="array" ref="RJ15">INDEX(增益!$A$2:$Q$40,RE15,MATCH(RJ$8,增益!$B$1:$Q$1,0)+1)*$AI15</f>
        <v>0</v>
      </c>
      <c r="RK15" s="2" cm="1">
        <f t="array" ref="RK15">INDEX(增益!$A$2:$Q$40,RE15,MATCH(RK$8,增益!$B$1:$Q$1,0)+1)*$AI15</f>
        <v>0</v>
      </c>
      <c r="RL15" s="2" cm="1">
        <f t="array" ref="RL15">INDEX(增益!$A$2:$Q$40,RE15,MATCH(RL$8,增益!$B$1:$Q$1,0)+1)*$AI15</f>
        <v>0</v>
      </c>
      <c r="RM15" s="2" cm="1">
        <f t="array" ref="RM15">INDEX(增益!$A$2:$Q$40,RE15,MATCH(RM$8,增益!$B$1:$Q$1,0)+1)*$AI15</f>
        <v>0</v>
      </c>
      <c r="RN15" s="2" cm="1">
        <f t="array" ref="RN15">INDEX(增益!$A$2:$Q$40,RE15,MATCH(RN$8,增益!$B$1:$Q$1,0)+1)*$AI15</f>
        <v>0</v>
      </c>
      <c r="RO15" s="2" cm="1">
        <f t="array" ref="RO15">INDEX(增益!$A$2:$Q$40,RE15,MATCH(RO$8,增益!$B$1:$Q$1,0)+1)*$AI15</f>
        <v>0</v>
      </c>
      <c r="RV15" s="2" cm="1">
        <f t="array" ref="RV15">INDEX(增益!$A$2:$Q$40,RE15,MATCH(RV$8,增益!$B$1:$Q$1,0)+1)*$AI15</f>
        <v>0</v>
      </c>
      <c r="RW15" s="2" cm="1">
        <f t="array" ref="RW15">INDEX(增益!$A$2:$Q$40,RE15,MATCH(RW$8,增益!$B$1:$Q$1,0)+1)*$AI15</f>
        <v>0</v>
      </c>
      <c r="RX15" s="2" cm="1">
        <f t="array" ref="RX15">INDEX(增益!$A$2:$Q$40,RE15,MATCH(RX$8,增益!$B$1:$Q$1,0)+1)*$AI15</f>
        <v>0</v>
      </c>
      <c r="RZ15" s="2" cm="1">
        <f t="array" ref="RZ15">INDEX(增益!$A$2:$Q$40,RE15,MATCH(RZ$8,增益!$B$1:$Q$1,0)+1)*$AI15</f>
        <v>0</v>
      </c>
      <c r="SB15" s="2" cm="1">
        <f t="array" ref="SB15">INDEX(增益!$A$2:$Q$40,RE15,MATCH(SB$8,增益!$B$1:$Q$1,0)+1)*$AI15</f>
        <v>0</v>
      </c>
      <c r="SC15" s="2" cm="1">
        <f t="array" ref="SC15">INDEX(增益!$A$2:$Q$40,RE15,MATCH(SC$8,增益!$B$1:$Q$1,0)+1)*$AI15</f>
        <v>0</v>
      </c>
      <c r="SG15" s="2" cm="1">
        <f t="array" ref="SG15">INDEX(云配队!$J20:$AC20,1,SG$1)</f>
        <v>0</v>
      </c>
      <c r="SH15" s="2">
        <f>IFERROR(MATCH(SG15,增益!$A$2:$A$40,FALSE),1)</f>
        <v>1</v>
      </c>
      <c r="SI15" s="2" cm="1">
        <f t="array" ref="SI15">INDEX(增益!$A$2:$Q$40,SH15,MATCH(SI$8,增益!$B$1:$Q$1,0)+1)*$AI15</f>
        <v>0</v>
      </c>
      <c r="SJ15" s="2" cm="1">
        <f t="array" ref="SJ15">INDEX(增益!$A$2:$Q$40,SH15,MATCH(SJ$8,增益!$B$1:$Q$1,0)+1)*$AI15</f>
        <v>0</v>
      </c>
      <c r="SK15" s="2" cm="1">
        <f t="array" ref="SK15">INDEX(增益!$A$2:$Q$40,SH15,MATCH(SK$8,增益!$B$1:$Q$1,0)+1)*$AI15</f>
        <v>0</v>
      </c>
      <c r="SL15" s="2" cm="1">
        <f t="array" ref="SL15">INDEX(增益!$A$2:$Q$40,SH15,MATCH(SL$8,增益!$B$1:$Q$1,0)+1)*$AI15</f>
        <v>0</v>
      </c>
      <c r="SM15" s="2" cm="1">
        <f t="array" ref="SM15">INDEX(增益!$A$2:$Q$40,SH15,MATCH(SM$8,增益!$B$1:$Q$1,0)+1)*$AI15</f>
        <v>0</v>
      </c>
      <c r="SN15" s="2" cm="1">
        <f t="array" ref="SN15">INDEX(增益!$A$2:$Q$40,SH15,MATCH(SN$8,增益!$B$1:$Q$1,0)+1)*$AI15</f>
        <v>0</v>
      </c>
      <c r="SO15" s="2" cm="1">
        <f t="array" ref="SO15">INDEX(增益!$A$2:$Q$40,SH15,MATCH(SO$8,增益!$B$1:$Q$1,0)+1)*$AI15</f>
        <v>0</v>
      </c>
      <c r="SP15" s="2" cm="1">
        <f t="array" ref="SP15">INDEX(增益!$A$2:$Q$40,SH15,MATCH(SP$8,增益!$B$1:$Q$1,0)+1)*$AI15</f>
        <v>0</v>
      </c>
      <c r="SQ15" s="2" cm="1">
        <f t="array" ref="SQ15">INDEX(增益!$A$2:$Q$40,SH15,MATCH(SQ$8,增益!$B$1:$Q$1,0)+1)*$AI15</f>
        <v>0</v>
      </c>
      <c r="SR15" s="2" cm="1">
        <f t="array" ref="SR15">INDEX(增益!$A$2:$Q$40,SH15,MATCH(SR$8,增益!$B$1:$Q$1,0)+1)*$AI15</f>
        <v>0</v>
      </c>
      <c r="SY15" s="2" cm="1">
        <f t="array" ref="SY15">INDEX(增益!$A$2:$Q$40,SH15,MATCH(SY$8,增益!$B$1:$Q$1,0)+1)*$AI15</f>
        <v>0</v>
      </c>
      <c r="SZ15" s="2" cm="1">
        <f t="array" ref="SZ15">INDEX(增益!$A$2:$Q$40,SH15,MATCH(SZ$8,增益!$B$1:$Q$1,0)+1)*$AI15</f>
        <v>0</v>
      </c>
      <c r="TA15" s="2" cm="1">
        <f t="array" ref="TA15">INDEX(增益!$A$2:$Q$40,SH15,MATCH(TA$8,增益!$B$1:$Q$1,0)+1)*$AI15</f>
        <v>0</v>
      </c>
      <c r="TC15" s="2" cm="1">
        <f t="array" ref="TC15">INDEX(增益!$A$2:$Q$40,SH15,MATCH(TC$8,增益!$B$1:$Q$1,0)+1)*$AI15</f>
        <v>0</v>
      </c>
      <c r="TE15" s="2" cm="1">
        <f t="array" ref="TE15">INDEX(增益!$A$2:$Q$40,SH15,MATCH(TE$8,增益!$B$1:$Q$1,0)+1)*$AI15</f>
        <v>0</v>
      </c>
      <c r="TF15" s="2" cm="1">
        <f t="array" ref="TF15">INDEX(增益!$A$2:$Q$40,SH15,MATCH(TF$8,增益!$B$1:$Q$1,0)+1)*$AI15</f>
        <v>0</v>
      </c>
      <c r="TJ15" s="2" cm="1">
        <f t="array" ref="TJ15">INDEX(云配队!$J20:$AC20,1,TJ$1)</f>
        <v>0</v>
      </c>
      <c r="TK15" s="2">
        <f>IFERROR(MATCH(TJ15,增益!$A$2:$A$40,FALSE),1)</f>
        <v>1</v>
      </c>
      <c r="TL15" s="2" cm="1">
        <f t="array" ref="TL15">INDEX(增益!$A$2:$Q$40,TK15,MATCH(TL$8,增益!$B$1:$Q$1,0)+1)*$AI15</f>
        <v>0</v>
      </c>
      <c r="TM15" s="2" cm="1">
        <f t="array" ref="TM15">INDEX(增益!$A$2:$Q$40,TK15,MATCH(TM$8,增益!$B$1:$Q$1,0)+1)*$AI15</f>
        <v>0</v>
      </c>
      <c r="TN15" s="2" cm="1">
        <f t="array" ref="TN15">INDEX(增益!$A$2:$Q$40,TK15,MATCH(TN$8,增益!$B$1:$Q$1,0)+1)*$AI15</f>
        <v>0</v>
      </c>
      <c r="TO15" s="2" cm="1">
        <f t="array" ref="TO15">INDEX(增益!$A$2:$Q$40,TK15,MATCH(TO$8,增益!$B$1:$Q$1,0)+1)*$AI15</f>
        <v>0</v>
      </c>
      <c r="TP15" s="2" cm="1">
        <f t="array" ref="TP15">INDEX(增益!$A$2:$Q$40,TK15,MATCH(TP$8,增益!$B$1:$Q$1,0)+1)*$AI15</f>
        <v>0</v>
      </c>
      <c r="TQ15" s="2" cm="1">
        <f t="array" ref="TQ15">INDEX(增益!$A$2:$Q$40,TK15,MATCH(TQ$8,增益!$B$1:$Q$1,0)+1)*$AI15</f>
        <v>0</v>
      </c>
      <c r="TR15" s="2" cm="1">
        <f t="array" ref="TR15">INDEX(增益!$A$2:$Q$40,TK15,MATCH(TR$8,增益!$B$1:$Q$1,0)+1)*$AI15</f>
        <v>0</v>
      </c>
      <c r="TS15" s="2" cm="1">
        <f t="array" ref="TS15">INDEX(增益!$A$2:$Q$40,TK15,MATCH(TS$8,增益!$B$1:$Q$1,0)+1)*$AI15</f>
        <v>0</v>
      </c>
      <c r="TT15" s="2" cm="1">
        <f t="array" ref="TT15">INDEX(增益!$A$2:$Q$40,TK15,MATCH(TT$8,增益!$B$1:$Q$1,0)+1)*$AI15</f>
        <v>0</v>
      </c>
      <c r="TU15" s="2" cm="1">
        <f t="array" ref="TU15">INDEX(增益!$A$2:$Q$40,TK15,MATCH(TU$8,增益!$B$1:$Q$1,0)+1)*$AI15</f>
        <v>0</v>
      </c>
      <c r="UB15" s="2" cm="1">
        <f t="array" ref="UB15">INDEX(增益!$A$2:$Q$40,TK15,MATCH(UB$8,增益!$B$1:$Q$1,0)+1)*$AI15</f>
        <v>0</v>
      </c>
      <c r="UC15" s="2" cm="1">
        <f t="array" ref="UC15">INDEX(增益!$A$2:$Q$40,TK15,MATCH(UC$8,增益!$B$1:$Q$1,0)+1)*$AI15</f>
        <v>0</v>
      </c>
      <c r="UD15" s="2" cm="1">
        <f t="array" ref="UD15">INDEX(增益!$A$2:$Q$40,TK15,MATCH(UD$8,增益!$B$1:$Q$1,0)+1)*$AI15</f>
        <v>0</v>
      </c>
      <c r="UF15" s="2" cm="1">
        <f t="array" ref="UF15">INDEX(增益!$A$2:$Q$40,TK15,MATCH(UF$8,增益!$B$1:$Q$1,0)+1)*$AI15</f>
        <v>0</v>
      </c>
      <c r="UH15" s="2" cm="1">
        <f t="array" ref="UH15">INDEX(增益!$A$2:$Q$40,TK15,MATCH(UH$8,增益!$B$1:$Q$1,0)+1)*$AI15</f>
        <v>0</v>
      </c>
      <c r="UI15" s="2" cm="1">
        <f t="array" ref="UI15">INDEX(增益!$A$2:$Q$40,TK15,MATCH(UI$8,增益!$B$1:$Q$1,0)+1)*$AI15</f>
        <v>0</v>
      </c>
      <c r="UM15" s="2" cm="1">
        <f t="array" ref="UM15">INDEX(云配队!$J20:$AC20,1,UM$1)</f>
        <v>0</v>
      </c>
      <c r="UN15" s="2">
        <f>IFERROR(MATCH(UM15,增益!$A$2:$A$40,FALSE),1)</f>
        <v>1</v>
      </c>
      <c r="UO15" s="2" cm="1">
        <f t="array" ref="UO15">INDEX(增益!$A$2:$Q$40,UN15,MATCH(UO$8,增益!$B$1:$Q$1,0)+1)*$AI15</f>
        <v>0</v>
      </c>
      <c r="UP15" s="2" cm="1">
        <f t="array" ref="UP15">INDEX(增益!$A$2:$Q$40,UN15,MATCH(UP$8,增益!$B$1:$Q$1,0)+1)*$AI15</f>
        <v>0</v>
      </c>
      <c r="UQ15" s="2" cm="1">
        <f t="array" ref="UQ15">INDEX(增益!$A$2:$Q$40,UN15,MATCH(UQ$8,增益!$B$1:$Q$1,0)+1)*$AI15</f>
        <v>0</v>
      </c>
      <c r="UR15" s="2" cm="1">
        <f t="array" ref="UR15">INDEX(增益!$A$2:$Q$40,UN15,MATCH(UR$8,增益!$B$1:$Q$1,0)+1)*$AI15</f>
        <v>0</v>
      </c>
      <c r="US15" s="2" cm="1">
        <f t="array" ref="US15">INDEX(增益!$A$2:$Q$40,UN15,MATCH(US$8,增益!$B$1:$Q$1,0)+1)*$AI15</f>
        <v>0</v>
      </c>
      <c r="UT15" s="2" cm="1">
        <f t="array" ref="UT15">INDEX(增益!$A$2:$Q$40,UN15,MATCH(UT$8,增益!$B$1:$Q$1,0)+1)*$AI15</f>
        <v>0</v>
      </c>
      <c r="UU15" s="2" cm="1">
        <f t="array" ref="UU15">INDEX(增益!$A$2:$Q$40,UN15,MATCH(UU$8,增益!$B$1:$Q$1,0)+1)*$AI15</f>
        <v>0</v>
      </c>
      <c r="UV15" s="2" cm="1">
        <f t="array" ref="UV15">INDEX(增益!$A$2:$Q$40,UN15,MATCH(UV$8,增益!$B$1:$Q$1,0)+1)*$AI15</f>
        <v>0</v>
      </c>
      <c r="UW15" s="2" cm="1">
        <f t="array" ref="UW15">INDEX(增益!$A$2:$Q$40,UN15,MATCH(UW$8,增益!$B$1:$Q$1,0)+1)*$AI15</f>
        <v>0</v>
      </c>
      <c r="UX15" s="2" cm="1">
        <f t="array" ref="UX15">INDEX(增益!$A$2:$Q$40,UN15,MATCH(UX$8,增益!$B$1:$Q$1,0)+1)*$AI15</f>
        <v>0</v>
      </c>
      <c r="VE15" s="2" cm="1">
        <f t="array" ref="VE15">INDEX(增益!$A$2:$Q$40,UN15,MATCH(VE$8,增益!$B$1:$Q$1,0)+1)*$AI15</f>
        <v>0</v>
      </c>
      <c r="VF15" s="2" cm="1">
        <f t="array" ref="VF15">INDEX(增益!$A$2:$Q$40,UN15,MATCH(VF$8,增益!$B$1:$Q$1,0)+1)*$AI15</f>
        <v>0</v>
      </c>
      <c r="VG15" s="2" cm="1">
        <f t="array" ref="VG15">INDEX(增益!$A$2:$Q$40,UN15,MATCH(VG$8,增益!$B$1:$Q$1,0)+1)*$AI15</f>
        <v>0</v>
      </c>
      <c r="VI15" s="2" cm="1">
        <f t="array" ref="VI15">INDEX(增益!$A$2:$Q$40,UN15,MATCH(VI$8,增益!$B$1:$Q$1,0)+1)*$AI15</f>
        <v>0</v>
      </c>
      <c r="VK15" s="2" cm="1">
        <f t="array" ref="VK15">INDEX(增益!$A$2:$Q$40,UN15,MATCH(VK$8,增益!$B$1:$Q$1,0)+1)*$AI15</f>
        <v>0</v>
      </c>
      <c r="VL15" s="2" cm="1">
        <f t="array" ref="VL15">INDEX(增益!$A$2:$Q$40,UN15,MATCH(VL$8,增益!$B$1:$Q$1,0)+1)*$AI15</f>
        <v>0</v>
      </c>
      <c r="VP15" s="2" cm="1">
        <f t="array" ref="VP15">INDEX(云配队!$J20:$AC20,1,VP$1)</f>
        <v>0</v>
      </c>
      <c r="VQ15" s="2">
        <f>IFERROR(MATCH(VP15,增益!$A$2:$A$40,FALSE),1)</f>
        <v>1</v>
      </c>
      <c r="VR15" s="2" cm="1">
        <f t="array" ref="VR15">INDEX(增益!$A$2:$Q$40,VQ15,MATCH(VR$8,增益!$B$1:$Q$1,0)+1)*$AI15</f>
        <v>0</v>
      </c>
      <c r="VS15" s="2" cm="1">
        <f t="array" ref="VS15">INDEX(增益!$A$2:$Q$40,VQ15,MATCH(VS$8,增益!$B$1:$Q$1,0)+1)*$AI15</f>
        <v>0</v>
      </c>
      <c r="VT15" s="2" cm="1">
        <f t="array" ref="VT15">INDEX(增益!$A$2:$Q$40,VQ15,MATCH(VT$8,增益!$B$1:$Q$1,0)+1)*$AI15</f>
        <v>0</v>
      </c>
      <c r="VU15" s="2" cm="1">
        <f t="array" ref="VU15">INDEX(增益!$A$2:$Q$40,VQ15,MATCH(VU$8,增益!$B$1:$Q$1,0)+1)*$AI15</f>
        <v>0</v>
      </c>
      <c r="VV15" s="2" cm="1">
        <f t="array" ref="VV15">INDEX(增益!$A$2:$Q$40,VQ15,MATCH(VV$8,增益!$B$1:$Q$1,0)+1)*$AI15</f>
        <v>0</v>
      </c>
      <c r="VW15" s="2" cm="1">
        <f t="array" ref="VW15">INDEX(增益!$A$2:$Q$40,VQ15,MATCH(VW$8,增益!$B$1:$Q$1,0)+1)*$AI15</f>
        <v>0</v>
      </c>
      <c r="VX15" s="2" cm="1">
        <f t="array" ref="VX15">INDEX(增益!$A$2:$Q$40,VQ15,MATCH(VX$8,增益!$B$1:$Q$1,0)+1)*$AI15</f>
        <v>0</v>
      </c>
      <c r="VY15" s="2" cm="1">
        <f t="array" ref="VY15">INDEX(增益!$A$2:$Q$40,VQ15,MATCH(VY$8,增益!$B$1:$Q$1,0)+1)*$AI15</f>
        <v>0</v>
      </c>
      <c r="VZ15" s="2" cm="1">
        <f t="array" ref="VZ15">INDEX(增益!$A$2:$Q$40,VQ15,MATCH(VZ$8,增益!$B$1:$Q$1,0)+1)*$AI15</f>
        <v>0</v>
      </c>
      <c r="WA15" s="2" cm="1">
        <f t="array" ref="WA15">INDEX(增益!$A$2:$Q$40,VQ15,MATCH(WA$8,增益!$B$1:$Q$1,0)+1)*$AI15</f>
        <v>0</v>
      </c>
      <c r="WH15" s="2" cm="1">
        <f t="array" ref="WH15">INDEX(增益!$A$2:$Q$40,VQ15,MATCH(WH$8,增益!$B$1:$Q$1,0)+1)*$AI15</f>
        <v>0</v>
      </c>
      <c r="WI15" s="2" cm="1">
        <f t="array" ref="WI15">INDEX(增益!$A$2:$Q$40,VQ15,MATCH(WI$8,增益!$B$1:$Q$1,0)+1)*$AI15</f>
        <v>0</v>
      </c>
      <c r="WJ15" s="2" cm="1">
        <f t="array" ref="WJ15">INDEX(增益!$A$2:$Q$40,VQ15,MATCH(WJ$8,增益!$B$1:$Q$1,0)+1)*$AI15</f>
        <v>0</v>
      </c>
      <c r="WL15" s="2" cm="1">
        <f t="array" ref="WL15">INDEX(增益!$A$2:$Q$40,VQ15,MATCH(WL$8,增益!$B$1:$Q$1,0)+1)*$AI15</f>
        <v>0</v>
      </c>
      <c r="WN15" s="2" cm="1">
        <f t="array" ref="WN15">INDEX(增益!$A$2:$Q$40,VQ15,MATCH(WN$8,增益!$B$1:$Q$1,0)+1)*$AI15</f>
        <v>0</v>
      </c>
      <c r="WO15" s="2" cm="1">
        <f t="array" ref="WO15">INDEX(增益!$A$2:$Q$40,VQ15,MATCH(WO$8,增益!$B$1:$Q$1,0)+1)*$AI15</f>
        <v>0</v>
      </c>
    </row>
    <row r="16" spans="1:616">
      <c r="AI16" s="2">
        <f>IF(云配队!H21&gt;0,云配队!H21,1)</f>
        <v>1</v>
      </c>
      <c r="AK16" s="2" cm="1">
        <f t="array" ref="AK16">INDEX(云配队!$J21:$AC21,1,AK$1)</f>
        <v>0</v>
      </c>
      <c r="AL16" s="2">
        <f>IFERROR(MATCH(AK16,增益!$A$2:$A$40,FALSE),1)</f>
        <v>1</v>
      </c>
      <c r="AM16" s="2" cm="1">
        <f t="array" ref="AM16">INDEX(增益!$A$2:$Q$40,AL16,MATCH(AM$8,增益!$B$1:$Q$1,0)+1)*$AI16</f>
        <v>0</v>
      </c>
      <c r="AN16" s="2" cm="1">
        <f t="array" ref="AN16">INDEX(增益!$A$2:$Q$40,AL16,MATCH(AN$8,增益!$B$1:$Q$1,0)+1)*$AI16</f>
        <v>0</v>
      </c>
      <c r="AO16" s="2" cm="1">
        <f t="array" ref="AO16">INDEX(增益!$A$2:$Q$40,AL16,MATCH(AO$8,增益!$B$1:$Q$1,0)+1)*$AI16</f>
        <v>0</v>
      </c>
      <c r="AP16" s="2" cm="1">
        <f t="array" ref="AP16">INDEX(增益!$A$2:$Q$40,AL16,MATCH(AP$8,增益!$B$1:$Q$1,0)+1)*$AI16</f>
        <v>0</v>
      </c>
      <c r="AQ16" s="2" cm="1">
        <f t="array" ref="AQ16">INDEX(增益!$A$2:$Q$40,AL16,MATCH(AQ$8,增益!$B$1:$Q$1,0)+1)*$AI16</f>
        <v>0</v>
      </c>
      <c r="AR16" s="2" cm="1">
        <f t="array" ref="AR16">INDEX(增益!$A$2:$Q$40,AL16,MATCH(AR$8,增益!$B$1:$Q$1,0)+1)*$AI16</f>
        <v>0</v>
      </c>
      <c r="AS16" s="2" cm="1">
        <f t="array" ref="AS16">INDEX(增益!$A$2:$Q$40,AL16,MATCH(AS$8,增益!$B$1:$Q$1,0)+1)*$AI16</f>
        <v>0</v>
      </c>
      <c r="AT16" s="2" cm="1">
        <f t="array" ref="AT16">INDEX(增益!$A$2:$Q$40,AL16,MATCH(AT$8,增益!$B$1:$Q$1,0)+1)*$AI16</f>
        <v>0</v>
      </c>
      <c r="AU16" s="2" cm="1">
        <f t="array" ref="AU16">INDEX(增益!$A$2:$Q$40,AL16,MATCH(AU$8,增益!$B$1:$Q$1,0)+1)*$AI16</f>
        <v>0</v>
      </c>
      <c r="AV16" s="2" cm="1">
        <f t="array" ref="AV16">INDEX(增益!$A$2:$Q$40,AL16,MATCH(AV$8,增益!$B$1:$Q$1,0)+1)*$AI16</f>
        <v>0</v>
      </c>
      <c r="BC16" s="2" cm="1">
        <f t="array" ref="BC16">INDEX(增益!$A$2:$Q$40,AL16,MATCH(BC$8,增益!$B$1:$Q$1,0)+1)*$AI16</f>
        <v>0</v>
      </c>
      <c r="BD16" s="2" cm="1">
        <f t="array" ref="BD16">INDEX(增益!$A$2:$Q$40,AL16,MATCH(BD$8,增益!$B$1:$Q$1,0)+1)*$AI16</f>
        <v>0</v>
      </c>
      <c r="BE16" s="2" cm="1">
        <f t="array" ref="BE16">INDEX(增益!$A$2:$Q$40,AL16,MATCH(BE$8,增益!$B$1:$Q$1,0)+1)*$AI16</f>
        <v>0</v>
      </c>
      <c r="BG16" s="2" cm="1">
        <f t="array" ref="BG16">INDEX(增益!$A$2:$Q$40,AL16,MATCH(BG$8,增益!$B$1:$Q$1,0)+1)*$AI16</f>
        <v>0</v>
      </c>
      <c r="BI16" s="2" cm="1">
        <f t="array" ref="BI16">INDEX(增益!$A$2:$Q$40,AL16,MATCH(BI$8,增益!$B$1:$Q$1,0)+1)*$AI16</f>
        <v>0</v>
      </c>
      <c r="BJ16" s="2" cm="1">
        <f t="array" ref="BJ16">INDEX(增益!$A$2:$Q$40,AL16,MATCH(BJ$8,增益!$B$1:$Q$1,0)+1)*$AI16</f>
        <v>0</v>
      </c>
      <c r="BN16" s="2" cm="1">
        <f t="array" ref="BN16">INDEX(云配队!$J21:$AC21,1,BN$1)</f>
        <v>0</v>
      </c>
      <c r="BO16" s="2">
        <f>IFERROR(MATCH(BN16,增益!$A$2:$A$40,FALSE),1)</f>
        <v>1</v>
      </c>
      <c r="BP16" s="2" cm="1">
        <f t="array" ref="BP16">INDEX(增益!$A$2:$Q$40,BO16,MATCH(BP$8,增益!$B$1:$Q$1,0)+1)*$AI16</f>
        <v>0</v>
      </c>
      <c r="BQ16" s="2" cm="1">
        <f t="array" ref="BQ16">INDEX(增益!$A$2:$Q$40,BO16,MATCH(BQ$8,增益!$B$1:$Q$1,0)+1)*$AI16</f>
        <v>0</v>
      </c>
      <c r="BR16" s="2" cm="1">
        <f t="array" ref="BR16">INDEX(增益!$A$2:$Q$40,BO16,MATCH(BR$8,增益!$B$1:$Q$1,0)+1)*$AI16</f>
        <v>0</v>
      </c>
      <c r="BS16" s="2" cm="1">
        <f t="array" ref="BS16">INDEX(增益!$A$2:$Q$40,BO16,MATCH(BS$8,增益!$B$1:$Q$1,0)+1)*$AI16</f>
        <v>0</v>
      </c>
      <c r="BT16" s="2" cm="1">
        <f t="array" ref="BT16">INDEX(增益!$A$2:$Q$40,BO16,MATCH(BT$8,增益!$B$1:$Q$1,0)+1)*$AI16</f>
        <v>0</v>
      </c>
      <c r="BU16" s="2" cm="1">
        <f t="array" ref="BU16">INDEX(增益!$A$2:$Q$40,BO16,MATCH(BU$8,增益!$B$1:$Q$1,0)+1)*$AI16</f>
        <v>0</v>
      </c>
      <c r="BV16" s="2" cm="1">
        <f t="array" ref="BV16">INDEX(增益!$A$2:$Q$40,BO16,MATCH(BV$8,增益!$B$1:$Q$1,0)+1)*$AI16</f>
        <v>0</v>
      </c>
      <c r="BW16" s="2" cm="1">
        <f t="array" ref="BW16">INDEX(增益!$A$2:$Q$40,BO16,MATCH(BW$8,增益!$B$1:$Q$1,0)+1)*$AI16</f>
        <v>0</v>
      </c>
      <c r="BX16" s="2" cm="1">
        <f t="array" ref="BX16">INDEX(增益!$A$2:$Q$40,BO16,MATCH(BX$8,增益!$B$1:$Q$1,0)+1)*$AI16</f>
        <v>0</v>
      </c>
      <c r="BY16" s="2" cm="1">
        <f t="array" ref="BY16">INDEX(增益!$A$2:$Q$40,BO16,MATCH(BY$8,增益!$B$1:$Q$1,0)+1)*$AI16</f>
        <v>0</v>
      </c>
      <c r="CF16" s="2" cm="1">
        <f t="array" ref="CF16">INDEX(增益!$A$2:$Q$40,BO16,MATCH(CF$8,增益!$B$1:$Q$1,0)+1)*$AI16</f>
        <v>0</v>
      </c>
      <c r="CG16" s="2" cm="1">
        <f t="array" ref="CG16">INDEX(增益!$A$2:$Q$40,BO16,MATCH(CG$8,增益!$B$1:$Q$1,0)+1)*$AI16</f>
        <v>0</v>
      </c>
      <c r="CH16" s="2" cm="1">
        <f t="array" ref="CH16">INDEX(增益!$A$2:$Q$40,BO16,MATCH(CH$8,增益!$B$1:$Q$1,0)+1)*$AI16</f>
        <v>0</v>
      </c>
      <c r="CJ16" s="2" cm="1">
        <f t="array" ref="CJ16">INDEX(增益!$A$2:$Q$40,BO16,MATCH(CJ$8,增益!$B$1:$Q$1,0)+1)*$AI16</f>
        <v>0</v>
      </c>
      <c r="CL16" s="2" cm="1">
        <f t="array" ref="CL16">INDEX(增益!$A$2:$Q$40,BO16,MATCH(CL$8,增益!$B$1:$Q$1,0)+1)*$AI16</f>
        <v>0</v>
      </c>
      <c r="CM16" s="2" cm="1">
        <f t="array" ref="CM16">INDEX(增益!$A$2:$Q$40,BO16,MATCH(CM$8,增益!$B$1:$Q$1,0)+1)*$AI16</f>
        <v>0</v>
      </c>
      <c r="CQ16" s="2" cm="1">
        <f t="array" ref="CQ16">INDEX(云配队!$J21:$AC21,1,CQ$1)</f>
        <v>0</v>
      </c>
      <c r="CR16" s="2">
        <f>IFERROR(MATCH(CQ16,增益!$A$2:$A$40,FALSE),1)</f>
        <v>1</v>
      </c>
      <c r="CS16" s="2" cm="1">
        <f t="array" ref="CS16">INDEX(增益!$A$2:$Q$40,CR16,MATCH(CS$8,增益!$B$1:$Q$1,0)+1)*$AI16</f>
        <v>0</v>
      </c>
      <c r="CT16" s="2" cm="1">
        <f t="array" ref="CT16">INDEX(增益!$A$2:$Q$40,CR16,MATCH(CT$8,增益!$B$1:$Q$1,0)+1)*$AI16</f>
        <v>0</v>
      </c>
      <c r="CU16" s="2" cm="1">
        <f t="array" ref="CU16">INDEX(增益!$A$2:$Q$40,CR16,MATCH(CU$8,增益!$B$1:$Q$1,0)+1)*$AI16</f>
        <v>0</v>
      </c>
      <c r="CV16" s="2" cm="1">
        <f t="array" ref="CV16">INDEX(增益!$A$2:$Q$40,CR16,MATCH(CV$8,增益!$B$1:$Q$1,0)+1)*$AI16</f>
        <v>0</v>
      </c>
      <c r="CW16" s="2" cm="1">
        <f t="array" ref="CW16">INDEX(增益!$A$2:$Q$40,CR16,MATCH(CW$8,增益!$B$1:$Q$1,0)+1)*$AI16</f>
        <v>0</v>
      </c>
      <c r="CX16" s="2" cm="1">
        <f t="array" ref="CX16">INDEX(增益!$A$2:$Q$40,CR16,MATCH(CX$8,增益!$B$1:$Q$1,0)+1)*$AI16</f>
        <v>0</v>
      </c>
      <c r="CY16" s="2" cm="1">
        <f t="array" ref="CY16">INDEX(增益!$A$2:$Q$40,CR16,MATCH(CY$8,增益!$B$1:$Q$1,0)+1)*$AI16</f>
        <v>0</v>
      </c>
      <c r="CZ16" s="2" cm="1">
        <f t="array" ref="CZ16">INDEX(增益!$A$2:$Q$40,CR16,MATCH(CZ$8,增益!$B$1:$Q$1,0)+1)*$AI16</f>
        <v>0</v>
      </c>
      <c r="DA16" s="2" cm="1">
        <f t="array" ref="DA16">INDEX(增益!$A$2:$Q$40,CR16,MATCH(DA$8,增益!$B$1:$Q$1,0)+1)*$AI16</f>
        <v>0</v>
      </c>
      <c r="DB16" s="2" cm="1">
        <f t="array" ref="DB16">INDEX(增益!$A$2:$Q$40,CR16,MATCH(DB$8,增益!$B$1:$Q$1,0)+1)*$AI16</f>
        <v>0</v>
      </c>
      <c r="DI16" s="2" cm="1">
        <f t="array" ref="DI16">INDEX(增益!$A$2:$Q$40,CR16,MATCH(DI$8,增益!$B$1:$Q$1,0)+1)*$AI16</f>
        <v>0</v>
      </c>
      <c r="DJ16" s="2" cm="1">
        <f t="array" ref="DJ16">INDEX(增益!$A$2:$Q$40,CR16,MATCH(DJ$8,增益!$B$1:$Q$1,0)+1)*$AI16</f>
        <v>0</v>
      </c>
      <c r="DK16" s="2" cm="1">
        <f t="array" ref="DK16">INDEX(增益!$A$2:$Q$40,CR16,MATCH(DK$8,增益!$B$1:$Q$1,0)+1)*$AI16</f>
        <v>0</v>
      </c>
      <c r="DM16" s="2" cm="1">
        <f t="array" ref="DM16">INDEX(增益!$A$2:$Q$40,CR16,MATCH(DM$8,增益!$B$1:$Q$1,0)+1)*$AI16</f>
        <v>0</v>
      </c>
      <c r="DO16" s="2" cm="1">
        <f t="array" ref="DO16">INDEX(增益!$A$2:$Q$40,CR16,MATCH(DO$8,增益!$B$1:$Q$1,0)+1)*$AI16</f>
        <v>0</v>
      </c>
      <c r="DP16" s="2" cm="1">
        <f t="array" ref="DP16">INDEX(增益!$A$2:$Q$40,CR16,MATCH(DP$8,增益!$B$1:$Q$1,0)+1)*$AI16</f>
        <v>0</v>
      </c>
      <c r="DT16" s="2" cm="1">
        <f t="array" ref="DT16">INDEX(云配队!$J21:$AC21,1,DT$1)</f>
        <v>0</v>
      </c>
      <c r="DU16" s="2">
        <f>IFERROR(MATCH(DT16,增益!$A$2:$A$40,FALSE),1)</f>
        <v>1</v>
      </c>
      <c r="DV16" s="2" cm="1">
        <f t="array" ref="DV16">INDEX(增益!$A$2:$Q$40,DU16,MATCH(DV$8,增益!$B$1:$Q$1,0)+1)*$AI16</f>
        <v>0</v>
      </c>
      <c r="DW16" s="2" cm="1">
        <f t="array" ref="DW16">INDEX(增益!$A$2:$Q$40,DU16,MATCH(DW$8,增益!$B$1:$Q$1,0)+1)*$AI16</f>
        <v>0</v>
      </c>
      <c r="DX16" s="2" cm="1">
        <f t="array" ref="DX16">INDEX(增益!$A$2:$Q$40,DU16,MATCH(DX$8,增益!$B$1:$Q$1,0)+1)*$AI16</f>
        <v>0</v>
      </c>
      <c r="DY16" s="2" cm="1">
        <f t="array" ref="DY16">INDEX(增益!$A$2:$Q$40,DU16,MATCH(DY$8,增益!$B$1:$Q$1,0)+1)*$AI16</f>
        <v>0</v>
      </c>
      <c r="DZ16" s="2" cm="1">
        <f t="array" ref="DZ16">INDEX(增益!$A$2:$Q$40,DU16,MATCH(DZ$8,增益!$B$1:$Q$1,0)+1)*$AI16</f>
        <v>0</v>
      </c>
      <c r="EA16" s="2" cm="1">
        <f t="array" ref="EA16">INDEX(增益!$A$2:$Q$40,DU16,MATCH(EA$8,增益!$B$1:$Q$1,0)+1)*$AI16</f>
        <v>0</v>
      </c>
      <c r="EB16" s="2" cm="1">
        <f t="array" ref="EB16">INDEX(增益!$A$2:$Q$40,DU16,MATCH(EB$8,增益!$B$1:$Q$1,0)+1)*$AI16</f>
        <v>0</v>
      </c>
      <c r="EC16" s="2" cm="1">
        <f t="array" ref="EC16">INDEX(增益!$A$2:$Q$40,DU16,MATCH(EC$8,增益!$B$1:$Q$1,0)+1)*$AI16</f>
        <v>0</v>
      </c>
      <c r="ED16" s="2" cm="1">
        <f t="array" ref="ED16">INDEX(增益!$A$2:$Q$40,DU16,MATCH(ED$8,增益!$B$1:$Q$1,0)+1)*$AI16</f>
        <v>0</v>
      </c>
      <c r="EE16" s="2" cm="1">
        <f t="array" ref="EE16">INDEX(增益!$A$2:$Q$40,DU16,MATCH(EE$8,增益!$B$1:$Q$1,0)+1)*$AI16</f>
        <v>0</v>
      </c>
      <c r="EL16" s="2" cm="1">
        <f t="array" ref="EL16">INDEX(增益!$A$2:$Q$40,DU16,MATCH(EL$8,增益!$B$1:$Q$1,0)+1)*$AI16</f>
        <v>0</v>
      </c>
      <c r="EM16" s="2" cm="1">
        <f t="array" ref="EM16">INDEX(增益!$A$2:$Q$40,DU16,MATCH(EM$8,增益!$B$1:$Q$1,0)+1)*$AI16</f>
        <v>0</v>
      </c>
      <c r="EN16" s="2" cm="1">
        <f t="array" ref="EN16">INDEX(增益!$A$2:$Q$40,DU16,MATCH(EN$8,增益!$B$1:$Q$1,0)+1)*$AI16</f>
        <v>0</v>
      </c>
      <c r="EP16" s="2" cm="1">
        <f t="array" ref="EP16">INDEX(增益!$A$2:$Q$40,DU16,MATCH(EP$8,增益!$B$1:$Q$1,0)+1)*$AI16</f>
        <v>0</v>
      </c>
      <c r="ER16" s="2" cm="1">
        <f t="array" ref="ER16">INDEX(增益!$A$2:$Q$40,DU16,MATCH(ER$8,增益!$B$1:$Q$1,0)+1)*$AI16</f>
        <v>0</v>
      </c>
      <c r="ES16" s="2" cm="1">
        <f t="array" ref="ES16">INDEX(增益!$A$2:$Q$40,DU16,MATCH(ES$8,增益!$B$1:$Q$1,0)+1)*$AI16</f>
        <v>0</v>
      </c>
      <c r="EW16" s="2" cm="1">
        <f t="array" ref="EW16">INDEX(云配队!$J21:$AC21,1,EW$1)</f>
        <v>0</v>
      </c>
      <c r="EX16" s="2">
        <f>IFERROR(MATCH(EW16,增益!$A$2:$A$40,FALSE),1)</f>
        <v>1</v>
      </c>
      <c r="EY16" s="2" cm="1">
        <f t="array" ref="EY16">INDEX(增益!$A$2:$Q$40,EX16,MATCH(EY$8,增益!$B$1:$Q$1,0)+1)*$AI16</f>
        <v>0</v>
      </c>
      <c r="EZ16" s="2" cm="1">
        <f t="array" ref="EZ16">INDEX(增益!$A$2:$Q$40,EX16,MATCH(EZ$8,增益!$B$1:$Q$1,0)+1)*$AI16</f>
        <v>0</v>
      </c>
      <c r="FA16" s="2" cm="1">
        <f t="array" ref="FA16">INDEX(增益!$A$2:$Q$40,EX16,MATCH(FA$8,增益!$B$1:$Q$1,0)+1)*$AI16</f>
        <v>0</v>
      </c>
      <c r="FB16" s="2" cm="1">
        <f t="array" ref="FB16">INDEX(增益!$A$2:$Q$40,EX16,MATCH(FB$8,增益!$B$1:$Q$1,0)+1)*$AI16</f>
        <v>0</v>
      </c>
      <c r="FC16" s="2" cm="1">
        <f t="array" ref="FC16">INDEX(增益!$A$2:$Q$40,EX16,MATCH(FC$8,增益!$B$1:$Q$1,0)+1)*$AI16</f>
        <v>0</v>
      </c>
      <c r="FD16" s="2" cm="1">
        <f t="array" ref="FD16">INDEX(增益!$A$2:$Q$40,EX16,MATCH(FD$8,增益!$B$1:$Q$1,0)+1)*$AI16</f>
        <v>0</v>
      </c>
      <c r="FE16" s="2" cm="1">
        <f t="array" ref="FE16">INDEX(增益!$A$2:$Q$40,EX16,MATCH(FE$8,增益!$B$1:$Q$1,0)+1)*$AI16</f>
        <v>0</v>
      </c>
      <c r="FF16" s="2" cm="1">
        <f t="array" ref="FF16">INDEX(增益!$A$2:$Q$40,EX16,MATCH(FF$8,增益!$B$1:$Q$1,0)+1)*$AI16</f>
        <v>0</v>
      </c>
      <c r="FG16" s="2" cm="1">
        <f t="array" ref="FG16">INDEX(增益!$A$2:$Q$40,EX16,MATCH(FG$8,增益!$B$1:$Q$1,0)+1)*$AI16</f>
        <v>0</v>
      </c>
      <c r="FH16" s="2" cm="1">
        <f t="array" ref="FH16">INDEX(增益!$A$2:$Q$40,EX16,MATCH(FH$8,增益!$B$1:$Q$1,0)+1)*$AI16</f>
        <v>0</v>
      </c>
      <c r="FO16" s="2" cm="1">
        <f t="array" ref="FO16">INDEX(增益!$A$2:$Q$40,EX16,MATCH(FO$8,增益!$B$1:$Q$1,0)+1)*$AI16</f>
        <v>0</v>
      </c>
      <c r="FP16" s="2" cm="1">
        <f t="array" ref="FP16">INDEX(增益!$A$2:$Q$40,EX16,MATCH(FP$8,增益!$B$1:$Q$1,0)+1)*$AI16</f>
        <v>0</v>
      </c>
      <c r="FQ16" s="2" cm="1">
        <f t="array" ref="FQ16">INDEX(增益!$A$2:$Q$40,EX16,MATCH(FQ$8,增益!$B$1:$Q$1,0)+1)*$AI16</f>
        <v>0</v>
      </c>
      <c r="FS16" s="2" cm="1">
        <f t="array" ref="FS16">INDEX(增益!$A$2:$Q$40,EX16,MATCH(FS$8,增益!$B$1:$Q$1,0)+1)*$AI16</f>
        <v>0</v>
      </c>
      <c r="FU16" s="2" cm="1">
        <f t="array" ref="FU16">INDEX(增益!$A$2:$Q$40,EX16,MATCH(FU$8,增益!$B$1:$Q$1,0)+1)*$AI16</f>
        <v>0</v>
      </c>
      <c r="FV16" s="2" cm="1">
        <f t="array" ref="FV16">INDEX(增益!$A$2:$Q$40,EX16,MATCH(FV$8,增益!$B$1:$Q$1,0)+1)*$AI16</f>
        <v>0</v>
      </c>
      <c r="FZ16" s="2" cm="1">
        <f t="array" ref="FZ16">INDEX(云配队!$J21:$AC21,1,FZ$1)</f>
        <v>0</v>
      </c>
      <c r="GA16" s="2">
        <f>IFERROR(MATCH(FZ16,增益!$A$2:$A$40,FALSE),1)</f>
        <v>1</v>
      </c>
      <c r="GB16" s="2" cm="1">
        <f t="array" ref="GB16">INDEX(增益!$A$2:$Q$40,GA16,MATCH(GB$8,增益!$B$1:$Q$1,0)+1)*$AI16</f>
        <v>0</v>
      </c>
      <c r="GC16" s="2" cm="1">
        <f t="array" ref="GC16">INDEX(增益!$A$2:$Q$40,GA16,MATCH(GC$8,增益!$B$1:$Q$1,0)+1)*$AI16</f>
        <v>0</v>
      </c>
      <c r="GD16" s="2" cm="1">
        <f t="array" ref="GD16">INDEX(增益!$A$2:$Q$40,GA16,MATCH(GD$8,增益!$B$1:$Q$1,0)+1)*$AI16</f>
        <v>0</v>
      </c>
      <c r="GE16" s="2" cm="1">
        <f t="array" ref="GE16">INDEX(增益!$A$2:$Q$40,GA16,MATCH(GE$8,增益!$B$1:$Q$1,0)+1)*$AI16</f>
        <v>0</v>
      </c>
      <c r="GF16" s="2" cm="1">
        <f t="array" ref="GF16">INDEX(增益!$A$2:$Q$40,GA16,MATCH(GF$8,增益!$B$1:$Q$1,0)+1)*$AI16</f>
        <v>0</v>
      </c>
      <c r="GG16" s="2" cm="1">
        <f t="array" ref="GG16">INDEX(增益!$A$2:$Q$40,GA16,MATCH(GG$8,增益!$B$1:$Q$1,0)+1)*$AI16</f>
        <v>0</v>
      </c>
      <c r="GH16" s="2" cm="1">
        <f t="array" ref="GH16">INDEX(增益!$A$2:$Q$40,GA16,MATCH(GH$8,增益!$B$1:$Q$1,0)+1)*$AI16</f>
        <v>0</v>
      </c>
      <c r="GI16" s="2" cm="1">
        <f t="array" ref="GI16">INDEX(增益!$A$2:$Q$40,GA16,MATCH(GI$8,增益!$B$1:$Q$1,0)+1)*$AI16</f>
        <v>0</v>
      </c>
      <c r="GJ16" s="2" cm="1">
        <f t="array" ref="GJ16">INDEX(增益!$A$2:$Q$40,GA16,MATCH(GJ$8,增益!$B$1:$Q$1,0)+1)*$AI16</f>
        <v>0</v>
      </c>
      <c r="GK16" s="2" cm="1">
        <f t="array" ref="GK16">INDEX(增益!$A$2:$Q$40,GA16,MATCH(GK$8,增益!$B$1:$Q$1,0)+1)*$AI16</f>
        <v>0</v>
      </c>
      <c r="GR16" s="2" cm="1">
        <f t="array" ref="GR16">INDEX(增益!$A$2:$Q$40,GA16,MATCH(GR$8,增益!$B$1:$Q$1,0)+1)*$AI16</f>
        <v>0</v>
      </c>
      <c r="GS16" s="2" cm="1">
        <f t="array" ref="GS16">INDEX(增益!$A$2:$Q$40,GA16,MATCH(GS$8,增益!$B$1:$Q$1,0)+1)*$AI16</f>
        <v>0</v>
      </c>
      <c r="GT16" s="2" cm="1">
        <f t="array" ref="GT16">INDEX(增益!$A$2:$Q$40,GA16,MATCH(GT$8,增益!$B$1:$Q$1,0)+1)*$AI16</f>
        <v>0</v>
      </c>
      <c r="GV16" s="2" cm="1">
        <f t="array" ref="GV16">INDEX(增益!$A$2:$Q$40,GA16,MATCH(GV$8,增益!$B$1:$Q$1,0)+1)*$AI16</f>
        <v>0</v>
      </c>
      <c r="GX16" s="2" cm="1">
        <f t="array" ref="GX16">INDEX(增益!$A$2:$Q$40,GA16,MATCH(GX$8,增益!$B$1:$Q$1,0)+1)*$AI16</f>
        <v>0</v>
      </c>
      <c r="GY16" s="2" cm="1">
        <f t="array" ref="GY16">INDEX(增益!$A$2:$Q$40,GA16,MATCH(GY$8,增益!$B$1:$Q$1,0)+1)*$AI16</f>
        <v>0</v>
      </c>
      <c r="HC16" s="2" cm="1">
        <f t="array" ref="HC16">INDEX(云配队!$J21:$AC21,1,HC$1)</f>
        <v>0</v>
      </c>
      <c r="HD16" s="2">
        <f>IFERROR(MATCH(HC16,增益!$A$2:$A$40,FALSE),1)</f>
        <v>1</v>
      </c>
      <c r="HE16" s="2" cm="1">
        <f t="array" ref="HE16">INDEX(增益!$A$2:$Q$40,HD16,MATCH(HE$8,增益!$B$1:$Q$1,0)+1)*$AI16</f>
        <v>0</v>
      </c>
      <c r="HF16" s="2" cm="1">
        <f t="array" ref="HF16">INDEX(增益!$A$2:$Q$40,HD16,MATCH(HF$8,增益!$B$1:$Q$1,0)+1)*$AI16</f>
        <v>0</v>
      </c>
      <c r="HG16" s="2" cm="1">
        <f t="array" ref="HG16">INDEX(增益!$A$2:$Q$40,HD16,MATCH(HG$8,增益!$B$1:$Q$1,0)+1)*$AI16</f>
        <v>0</v>
      </c>
      <c r="HH16" s="2" cm="1">
        <f t="array" ref="HH16">INDEX(增益!$A$2:$Q$40,HD16,MATCH(HH$8,增益!$B$1:$Q$1,0)+1)*$AI16</f>
        <v>0</v>
      </c>
      <c r="HI16" s="2" cm="1">
        <f t="array" ref="HI16">INDEX(增益!$A$2:$Q$40,HD16,MATCH(HI$8,增益!$B$1:$Q$1,0)+1)*$AI16</f>
        <v>0</v>
      </c>
      <c r="HJ16" s="2" cm="1">
        <f t="array" ref="HJ16">INDEX(增益!$A$2:$Q$40,HD16,MATCH(HJ$8,增益!$B$1:$Q$1,0)+1)*$AI16</f>
        <v>0</v>
      </c>
      <c r="HK16" s="2" cm="1">
        <f t="array" ref="HK16">INDEX(增益!$A$2:$Q$40,HD16,MATCH(HK$8,增益!$B$1:$Q$1,0)+1)*$AI16</f>
        <v>0</v>
      </c>
      <c r="HL16" s="2" cm="1">
        <f t="array" ref="HL16">INDEX(增益!$A$2:$Q$40,HD16,MATCH(HL$8,增益!$B$1:$Q$1,0)+1)*$AI16</f>
        <v>0</v>
      </c>
      <c r="HM16" s="2" cm="1">
        <f t="array" ref="HM16">INDEX(增益!$A$2:$Q$40,HD16,MATCH(HM$8,增益!$B$1:$Q$1,0)+1)*$AI16</f>
        <v>0</v>
      </c>
      <c r="HN16" s="2" cm="1">
        <f t="array" ref="HN16">INDEX(增益!$A$2:$Q$40,HD16,MATCH(HN$8,增益!$B$1:$Q$1,0)+1)*$AI16</f>
        <v>0</v>
      </c>
      <c r="HU16" s="2" cm="1">
        <f t="array" ref="HU16">INDEX(增益!$A$2:$Q$40,HD16,MATCH(HU$8,增益!$B$1:$Q$1,0)+1)*$AI16</f>
        <v>0</v>
      </c>
      <c r="HV16" s="2" cm="1">
        <f t="array" ref="HV16">INDEX(增益!$A$2:$Q$40,HD16,MATCH(HV$8,增益!$B$1:$Q$1,0)+1)*$AI16</f>
        <v>0</v>
      </c>
      <c r="HW16" s="2" cm="1">
        <f t="array" ref="HW16">INDEX(增益!$A$2:$Q$40,HD16,MATCH(HW$8,增益!$B$1:$Q$1,0)+1)*$AI16</f>
        <v>0</v>
      </c>
      <c r="HY16" s="2" cm="1">
        <f t="array" ref="HY16">INDEX(增益!$A$2:$Q$40,HD16,MATCH(HY$8,增益!$B$1:$Q$1,0)+1)*$AI16</f>
        <v>0</v>
      </c>
      <c r="IA16" s="2" cm="1">
        <f t="array" ref="IA16">INDEX(增益!$A$2:$Q$40,HD16,MATCH(IA$8,增益!$B$1:$Q$1,0)+1)*$AI16</f>
        <v>0</v>
      </c>
      <c r="IB16" s="2" cm="1">
        <f t="array" ref="IB16">INDEX(增益!$A$2:$Q$40,HD16,MATCH(IB$8,增益!$B$1:$Q$1,0)+1)*$AI16</f>
        <v>0</v>
      </c>
      <c r="IF16" s="2" cm="1">
        <f t="array" ref="IF16">INDEX(云配队!$J21:$AC21,1,IF$1)</f>
        <v>0</v>
      </c>
      <c r="IG16" s="2">
        <f>IFERROR(MATCH(IF16,增益!$A$2:$A$40,FALSE),1)</f>
        <v>1</v>
      </c>
      <c r="IH16" s="2" cm="1">
        <f t="array" ref="IH16">INDEX(增益!$A$2:$Q$40,IG16,MATCH(IH$8,增益!$B$1:$Q$1,0)+1)*$AI16</f>
        <v>0</v>
      </c>
      <c r="II16" s="2" cm="1">
        <f t="array" ref="II16">INDEX(增益!$A$2:$Q$40,IG16,MATCH(II$8,增益!$B$1:$Q$1,0)+1)*$AI16</f>
        <v>0</v>
      </c>
      <c r="IJ16" s="2" cm="1">
        <f t="array" ref="IJ16">INDEX(增益!$A$2:$Q$40,IG16,MATCH(IJ$8,增益!$B$1:$Q$1,0)+1)*$AI16</f>
        <v>0</v>
      </c>
      <c r="IK16" s="2" cm="1">
        <f t="array" ref="IK16">INDEX(增益!$A$2:$Q$40,IG16,MATCH(IK$8,增益!$B$1:$Q$1,0)+1)*$AI16</f>
        <v>0</v>
      </c>
      <c r="IL16" s="2" cm="1">
        <f t="array" ref="IL16">INDEX(增益!$A$2:$Q$40,IG16,MATCH(IL$8,增益!$B$1:$Q$1,0)+1)*$AI16</f>
        <v>0</v>
      </c>
      <c r="IM16" s="2" cm="1">
        <f t="array" ref="IM16">INDEX(增益!$A$2:$Q$40,IG16,MATCH(IM$8,增益!$B$1:$Q$1,0)+1)*$AI16</f>
        <v>0</v>
      </c>
      <c r="IN16" s="2" cm="1">
        <f t="array" ref="IN16">INDEX(增益!$A$2:$Q$40,IG16,MATCH(IN$8,增益!$B$1:$Q$1,0)+1)*$AI16</f>
        <v>0</v>
      </c>
      <c r="IO16" s="2" cm="1">
        <f t="array" ref="IO16">INDEX(增益!$A$2:$Q$40,IG16,MATCH(IO$8,增益!$B$1:$Q$1,0)+1)*$AI16</f>
        <v>0</v>
      </c>
      <c r="IP16" s="2" cm="1">
        <f t="array" ref="IP16">INDEX(增益!$A$2:$Q$40,IG16,MATCH(IP$8,增益!$B$1:$Q$1,0)+1)*$AI16</f>
        <v>0</v>
      </c>
      <c r="IQ16" s="2" cm="1">
        <f t="array" ref="IQ16">INDEX(增益!$A$2:$Q$40,IG16,MATCH(IQ$8,增益!$B$1:$Q$1,0)+1)*$AI16</f>
        <v>0</v>
      </c>
      <c r="IX16" s="2" cm="1">
        <f t="array" ref="IX16">INDEX(增益!$A$2:$Q$40,IG16,MATCH(IX$8,增益!$B$1:$Q$1,0)+1)*$AI16</f>
        <v>0</v>
      </c>
      <c r="IY16" s="2" cm="1">
        <f t="array" ref="IY16">INDEX(增益!$A$2:$Q$40,IG16,MATCH(IY$8,增益!$B$1:$Q$1,0)+1)*$AI16</f>
        <v>0</v>
      </c>
      <c r="IZ16" s="2" cm="1">
        <f t="array" ref="IZ16">INDEX(增益!$A$2:$Q$40,IG16,MATCH(IZ$8,增益!$B$1:$Q$1,0)+1)*$AI16</f>
        <v>0</v>
      </c>
      <c r="JB16" s="2" cm="1">
        <f t="array" ref="JB16">INDEX(增益!$A$2:$Q$40,IG16,MATCH(JB$8,增益!$B$1:$Q$1,0)+1)*$AI16</f>
        <v>0</v>
      </c>
      <c r="JD16" s="2" cm="1">
        <f t="array" ref="JD16">INDEX(增益!$A$2:$Q$40,IG16,MATCH(JD$8,增益!$B$1:$Q$1,0)+1)*$AI16</f>
        <v>0</v>
      </c>
      <c r="JE16" s="2" cm="1">
        <f t="array" ref="JE16">INDEX(增益!$A$2:$Q$40,IG16,MATCH(JE$8,增益!$B$1:$Q$1,0)+1)*$AI16</f>
        <v>0</v>
      </c>
      <c r="JI16" s="2" cm="1">
        <f t="array" ref="JI16">INDEX(云配队!$J21:$AC21,1,JI$1)</f>
        <v>0</v>
      </c>
      <c r="JJ16" s="2">
        <f>IFERROR(MATCH(JI16,增益!$A$2:$A$40,FALSE),1)</f>
        <v>1</v>
      </c>
      <c r="JK16" s="2" cm="1">
        <f t="array" ref="JK16">INDEX(增益!$A$2:$Q$40,JJ16,MATCH(JK$8,增益!$B$1:$Q$1,0)+1)*$AI16</f>
        <v>0</v>
      </c>
      <c r="JL16" s="2" cm="1">
        <f t="array" ref="JL16">INDEX(增益!$A$2:$Q$40,JJ16,MATCH(JL$8,增益!$B$1:$Q$1,0)+1)*$AI16</f>
        <v>0</v>
      </c>
      <c r="JM16" s="2" cm="1">
        <f t="array" ref="JM16">INDEX(增益!$A$2:$Q$40,JJ16,MATCH(JM$8,增益!$B$1:$Q$1,0)+1)*$AI16</f>
        <v>0</v>
      </c>
      <c r="JN16" s="2" cm="1">
        <f t="array" ref="JN16">INDEX(增益!$A$2:$Q$40,JJ16,MATCH(JN$8,增益!$B$1:$Q$1,0)+1)*$AI16</f>
        <v>0</v>
      </c>
      <c r="JO16" s="2" cm="1">
        <f t="array" ref="JO16">INDEX(增益!$A$2:$Q$40,JJ16,MATCH(JO$8,增益!$B$1:$Q$1,0)+1)*$AI16</f>
        <v>0</v>
      </c>
      <c r="JP16" s="2" cm="1">
        <f t="array" ref="JP16">INDEX(增益!$A$2:$Q$40,JJ16,MATCH(JP$8,增益!$B$1:$Q$1,0)+1)*$AI16</f>
        <v>0</v>
      </c>
      <c r="JQ16" s="2" cm="1">
        <f t="array" ref="JQ16">INDEX(增益!$A$2:$Q$40,JJ16,MATCH(JQ$8,增益!$B$1:$Q$1,0)+1)*$AI16</f>
        <v>0</v>
      </c>
      <c r="JR16" s="2" cm="1">
        <f t="array" ref="JR16">INDEX(增益!$A$2:$Q$40,JJ16,MATCH(JR$8,增益!$B$1:$Q$1,0)+1)*$AI16</f>
        <v>0</v>
      </c>
      <c r="JS16" s="2" cm="1">
        <f t="array" ref="JS16">INDEX(增益!$A$2:$Q$40,JJ16,MATCH(JS$8,增益!$B$1:$Q$1,0)+1)*$AI16</f>
        <v>0</v>
      </c>
      <c r="JT16" s="2" cm="1">
        <f t="array" ref="JT16">INDEX(增益!$A$2:$Q$40,JJ16,MATCH(JT$8,增益!$B$1:$Q$1,0)+1)*$AI16</f>
        <v>0</v>
      </c>
      <c r="KA16" s="2" cm="1">
        <f t="array" ref="KA16">INDEX(增益!$A$2:$Q$40,JJ16,MATCH(KA$8,增益!$B$1:$Q$1,0)+1)*$AI16</f>
        <v>0</v>
      </c>
      <c r="KB16" s="2" cm="1">
        <f t="array" ref="KB16">INDEX(增益!$A$2:$Q$40,JJ16,MATCH(KB$8,增益!$B$1:$Q$1,0)+1)*$AI16</f>
        <v>0</v>
      </c>
      <c r="KC16" s="2" cm="1">
        <f t="array" ref="KC16">INDEX(增益!$A$2:$Q$40,JJ16,MATCH(KC$8,增益!$B$1:$Q$1,0)+1)*$AI16</f>
        <v>0</v>
      </c>
      <c r="KE16" s="2" cm="1">
        <f t="array" ref="KE16">INDEX(增益!$A$2:$Q$40,JJ16,MATCH(KE$8,增益!$B$1:$Q$1,0)+1)*$AI16</f>
        <v>0</v>
      </c>
      <c r="KG16" s="2" cm="1">
        <f t="array" ref="KG16">INDEX(增益!$A$2:$Q$40,JJ16,MATCH(KG$8,增益!$B$1:$Q$1,0)+1)*$AI16</f>
        <v>0</v>
      </c>
      <c r="KH16" s="2" cm="1">
        <f t="array" ref="KH16">INDEX(增益!$A$2:$Q$40,JJ16,MATCH(KH$8,增益!$B$1:$Q$1,0)+1)*$AI16</f>
        <v>0</v>
      </c>
      <c r="KL16" s="2" cm="1">
        <f t="array" ref="KL16">INDEX(云配队!$J21:$AC21,1,KL$1)</f>
        <v>0</v>
      </c>
      <c r="KM16" s="2">
        <f>IFERROR(MATCH(KL16,增益!$A$2:$A$40,FALSE),1)</f>
        <v>1</v>
      </c>
      <c r="KN16" s="2" cm="1">
        <f t="array" ref="KN16">INDEX(增益!$A$2:$Q$40,KM16,MATCH(KN$8,增益!$B$1:$Q$1,0)+1)*$AI16</f>
        <v>0</v>
      </c>
      <c r="KO16" s="2" cm="1">
        <f t="array" ref="KO16">INDEX(增益!$A$2:$Q$40,KM16,MATCH(KO$8,增益!$B$1:$Q$1,0)+1)*$AI16</f>
        <v>0</v>
      </c>
      <c r="KP16" s="2" cm="1">
        <f t="array" ref="KP16">INDEX(增益!$A$2:$Q$40,KM16,MATCH(KP$8,增益!$B$1:$Q$1,0)+1)*$AI16</f>
        <v>0</v>
      </c>
      <c r="KQ16" s="2" cm="1">
        <f t="array" ref="KQ16">INDEX(增益!$A$2:$Q$40,KM16,MATCH(KQ$8,增益!$B$1:$Q$1,0)+1)*$AI16</f>
        <v>0</v>
      </c>
      <c r="KR16" s="2" cm="1">
        <f t="array" ref="KR16">INDEX(增益!$A$2:$Q$40,KM16,MATCH(KR$8,增益!$B$1:$Q$1,0)+1)*$AI16</f>
        <v>0</v>
      </c>
      <c r="KS16" s="2" cm="1">
        <f t="array" ref="KS16">INDEX(增益!$A$2:$Q$40,KM16,MATCH(KS$8,增益!$B$1:$Q$1,0)+1)*$AI16</f>
        <v>0</v>
      </c>
      <c r="KT16" s="2" cm="1">
        <f t="array" ref="KT16">INDEX(增益!$A$2:$Q$40,KM16,MATCH(KT$8,增益!$B$1:$Q$1,0)+1)*$AI16</f>
        <v>0</v>
      </c>
      <c r="KU16" s="2" cm="1">
        <f t="array" ref="KU16">INDEX(增益!$A$2:$Q$40,KM16,MATCH(KU$8,增益!$B$1:$Q$1,0)+1)*$AI16</f>
        <v>0</v>
      </c>
      <c r="KV16" s="2" cm="1">
        <f t="array" ref="KV16">INDEX(增益!$A$2:$Q$40,KM16,MATCH(KV$8,增益!$B$1:$Q$1,0)+1)*$AI16</f>
        <v>0</v>
      </c>
      <c r="KW16" s="2" cm="1">
        <f t="array" ref="KW16">INDEX(增益!$A$2:$Q$40,KM16,MATCH(KW$8,增益!$B$1:$Q$1,0)+1)*$AI16</f>
        <v>0</v>
      </c>
      <c r="LD16" s="2" cm="1">
        <f t="array" ref="LD16">INDEX(增益!$A$2:$Q$40,KM16,MATCH(LD$8,增益!$B$1:$Q$1,0)+1)*$AI16</f>
        <v>0</v>
      </c>
      <c r="LE16" s="2" cm="1">
        <f t="array" ref="LE16">INDEX(增益!$A$2:$Q$40,KM16,MATCH(LE$8,增益!$B$1:$Q$1,0)+1)*$AI16</f>
        <v>0</v>
      </c>
      <c r="LF16" s="2" cm="1">
        <f t="array" ref="LF16">INDEX(增益!$A$2:$Q$40,KM16,MATCH(LF$8,增益!$B$1:$Q$1,0)+1)*$AI16</f>
        <v>0</v>
      </c>
      <c r="LH16" s="2" cm="1">
        <f t="array" ref="LH16">INDEX(增益!$A$2:$Q$40,KM16,MATCH(LH$8,增益!$B$1:$Q$1,0)+1)*$AI16</f>
        <v>0</v>
      </c>
      <c r="LJ16" s="2" cm="1">
        <f t="array" ref="LJ16">INDEX(增益!$A$2:$Q$40,KM16,MATCH(LJ$8,增益!$B$1:$Q$1,0)+1)*$AI16</f>
        <v>0</v>
      </c>
      <c r="LK16" s="2" cm="1">
        <f t="array" ref="LK16">INDEX(增益!$A$2:$Q$40,KM16,MATCH(LK$8,增益!$B$1:$Q$1,0)+1)*$AI16</f>
        <v>0</v>
      </c>
      <c r="LO16" s="2" cm="1">
        <f t="array" ref="LO16">INDEX(云配队!$J21:$AC21,1,LO$1)</f>
        <v>0</v>
      </c>
      <c r="LP16" s="2">
        <f>IFERROR(MATCH(LO16,增益!$A$2:$A$40,FALSE),1)</f>
        <v>1</v>
      </c>
      <c r="LQ16" s="2" cm="1">
        <f t="array" ref="LQ16">INDEX(增益!$A$2:$Q$40,LP16,MATCH(LQ$8,增益!$B$1:$Q$1,0)+1)*$AI16</f>
        <v>0</v>
      </c>
      <c r="LR16" s="2" cm="1">
        <f t="array" ref="LR16">INDEX(增益!$A$2:$Q$40,LP16,MATCH(LR$8,增益!$B$1:$Q$1,0)+1)*$AI16</f>
        <v>0</v>
      </c>
      <c r="LS16" s="2" cm="1">
        <f t="array" ref="LS16">INDEX(增益!$A$2:$Q$40,LP16,MATCH(LS$8,增益!$B$1:$Q$1,0)+1)*$AI16</f>
        <v>0</v>
      </c>
      <c r="LT16" s="2" cm="1">
        <f t="array" ref="LT16">INDEX(增益!$A$2:$Q$40,LP16,MATCH(LT$8,增益!$B$1:$Q$1,0)+1)*$AI16</f>
        <v>0</v>
      </c>
      <c r="LU16" s="2" cm="1">
        <f t="array" ref="LU16">INDEX(增益!$A$2:$Q$40,LP16,MATCH(LU$8,增益!$B$1:$Q$1,0)+1)*$AI16</f>
        <v>0</v>
      </c>
      <c r="LV16" s="2" cm="1">
        <f t="array" ref="LV16">INDEX(增益!$A$2:$Q$40,LP16,MATCH(LV$8,增益!$B$1:$Q$1,0)+1)*$AI16</f>
        <v>0</v>
      </c>
      <c r="LW16" s="2" cm="1">
        <f t="array" ref="LW16">INDEX(增益!$A$2:$Q$40,LP16,MATCH(LW$8,增益!$B$1:$Q$1,0)+1)*$AI16</f>
        <v>0</v>
      </c>
      <c r="LX16" s="2" cm="1">
        <f t="array" ref="LX16">INDEX(增益!$A$2:$Q$40,LP16,MATCH(LX$8,增益!$B$1:$Q$1,0)+1)*$AI16</f>
        <v>0</v>
      </c>
      <c r="LY16" s="2" cm="1">
        <f t="array" ref="LY16">INDEX(增益!$A$2:$Q$40,LP16,MATCH(LY$8,增益!$B$1:$Q$1,0)+1)*$AI16</f>
        <v>0</v>
      </c>
      <c r="LZ16" s="2" cm="1">
        <f t="array" ref="LZ16">INDEX(增益!$A$2:$Q$40,LP16,MATCH(LZ$8,增益!$B$1:$Q$1,0)+1)*$AI16</f>
        <v>0</v>
      </c>
      <c r="MG16" s="2" cm="1">
        <f t="array" ref="MG16">INDEX(增益!$A$2:$Q$40,LP16,MATCH(MG$8,增益!$B$1:$Q$1,0)+1)*$AI16</f>
        <v>0</v>
      </c>
      <c r="MH16" s="2" cm="1">
        <f t="array" ref="MH16">INDEX(增益!$A$2:$Q$40,LP16,MATCH(MH$8,增益!$B$1:$Q$1,0)+1)*$AI16</f>
        <v>0</v>
      </c>
      <c r="MI16" s="2" cm="1">
        <f t="array" ref="MI16">INDEX(增益!$A$2:$Q$40,LP16,MATCH(MI$8,增益!$B$1:$Q$1,0)+1)*$AI16</f>
        <v>0</v>
      </c>
      <c r="MK16" s="2" cm="1">
        <f t="array" ref="MK16">INDEX(增益!$A$2:$Q$40,LP16,MATCH(MK$8,增益!$B$1:$Q$1,0)+1)*$AI16</f>
        <v>0</v>
      </c>
      <c r="MM16" s="2" cm="1">
        <f t="array" ref="MM16">INDEX(增益!$A$2:$Q$40,LP16,MATCH(MM$8,增益!$B$1:$Q$1,0)+1)*$AI16</f>
        <v>0</v>
      </c>
      <c r="MN16" s="2" cm="1">
        <f t="array" ref="MN16">INDEX(增益!$A$2:$Q$40,LP16,MATCH(MN$8,增益!$B$1:$Q$1,0)+1)*$AI16</f>
        <v>0</v>
      </c>
      <c r="MR16" s="2" cm="1">
        <f t="array" ref="MR16">INDEX(云配队!$J21:$AC21,1,MR$1)</f>
        <v>0</v>
      </c>
      <c r="MS16" s="2">
        <f>IFERROR(MATCH(MR16,增益!$A$2:$A$40,FALSE),1)</f>
        <v>1</v>
      </c>
      <c r="MT16" s="2" cm="1">
        <f t="array" ref="MT16">INDEX(增益!$A$2:$Q$40,MS16,MATCH(MT$8,增益!$B$1:$Q$1,0)+1)*$AI16</f>
        <v>0</v>
      </c>
      <c r="MU16" s="2" cm="1">
        <f t="array" ref="MU16">INDEX(增益!$A$2:$Q$40,MS16,MATCH(MU$8,增益!$B$1:$Q$1,0)+1)*$AI16</f>
        <v>0</v>
      </c>
      <c r="MV16" s="2" cm="1">
        <f t="array" ref="MV16">INDEX(增益!$A$2:$Q$40,MS16,MATCH(MV$8,增益!$B$1:$Q$1,0)+1)*$AI16</f>
        <v>0</v>
      </c>
      <c r="MW16" s="2" cm="1">
        <f t="array" ref="MW16">INDEX(增益!$A$2:$Q$40,MS16,MATCH(MW$8,增益!$B$1:$Q$1,0)+1)*$AI16</f>
        <v>0</v>
      </c>
      <c r="MX16" s="2" cm="1">
        <f t="array" ref="MX16">INDEX(增益!$A$2:$Q$40,MS16,MATCH(MX$8,增益!$B$1:$Q$1,0)+1)*$AI16</f>
        <v>0</v>
      </c>
      <c r="MY16" s="2" cm="1">
        <f t="array" ref="MY16">INDEX(增益!$A$2:$Q$40,MS16,MATCH(MY$8,增益!$B$1:$Q$1,0)+1)*$AI16</f>
        <v>0</v>
      </c>
      <c r="MZ16" s="2" cm="1">
        <f t="array" ref="MZ16">INDEX(增益!$A$2:$Q$40,MS16,MATCH(MZ$8,增益!$B$1:$Q$1,0)+1)*$AI16</f>
        <v>0</v>
      </c>
      <c r="NA16" s="2" cm="1">
        <f t="array" ref="NA16">INDEX(增益!$A$2:$Q$40,MS16,MATCH(NA$8,增益!$B$1:$Q$1,0)+1)*$AI16</f>
        <v>0</v>
      </c>
      <c r="NB16" s="2" cm="1">
        <f t="array" ref="NB16">INDEX(增益!$A$2:$Q$40,MS16,MATCH(NB$8,增益!$B$1:$Q$1,0)+1)*$AI16</f>
        <v>0</v>
      </c>
      <c r="NC16" s="2" cm="1">
        <f t="array" ref="NC16">INDEX(增益!$A$2:$Q$40,MS16,MATCH(NC$8,增益!$B$1:$Q$1,0)+1)*$AI16</f>
        <v>0</v>
      </c>
      <c r="NJ16" s="2" cm="1">
        <f t="array" ref="NJ16">INDEX(增益!$A$2:$Q$40,MS16,MATCH(NJ$8,增益!$B$1:$Q$1,0)+1)*$AI16</f>
        <v>0</v>
      </c>
      <c r="NK16" s="2" cm="1">
        <f t="array" ref="NK16">INDEX(增益!$A$2:$Q$40,MS16,MATCH(NK$8,增益!$B$1:$Q$1,0)+1)*$AI16</f>
        <v>0</v>
      </c>
      <c r="NL16" s="2" cm="1">
        <f t="array" ref="NL16">INDEX(增益!$A$2:$Q$40,MS16,MATCH(NL$8,增益!$B$1:$Q$1,0)+1)*$AI16</f>
        <v>0</v>
      </c>
      <c r="NN16" s="2" cm="1">
        <f t="array" ref="NN16">INDEX(增益!$A$2:$Q$40,MS16,MATCH(NN$8,增益!$B$1:$Q$1,0)+1)*$AI16</f>
        <v>0</v>
      </c>
      <c r="NP16" s="2" cm="1">
        <f t="array" ref="NP16">INDEX(增益!$A$2:$Q$40,MS16,MATCH(NP$8,增益!$B$1:$Q$1,0)+1)*$AI16</f>
        <v>0</v>
      </c>
      <c r="NQ16" s="2" cm="1">
        <f t="array" ref="NQ16">INDEX(增益!$A$2:$Q$40,MS16,MATCH(NQ$8,增益!$B$1:$Q$1,0)+1)*$AI16</f>
        <v>0</v>
      </c>
      <c r="NU16" s="2" cm="1">
        <f t="array" ref="NU16">INDEX(云配队!$J21:$AC21,1,NU$1)</f>
        <v>0</v>
      </c>
      <c r="NV16" s="2">
        <f>IFERROR(MATCH(NU16,增益!$A$2:$A$40,FALSE),1)</f>
        <v>1</v>
      </c>
      <c r="NW16" s="2" cm="1">
        <f t="array" ref="NW16">INDEX(增益!$A$2:$Q$40,NV16,MATCH(NW$8,增益!$B$1:$Q$1,0)+1)*$AI16</f>
        <v>0</v>
      </c>
      <c r="NX16" s="2" cm="1">
        <f t="array" ref="NX16">INDEX(增益!$A$2:$Q$40,NV16,MATCH(NX$8,增益!$B$1:$Q$1,0)+1)*$AI16</f>
        <v>0</v>
      </c>
      <c r="NY16" s="2" cm="1">
        <f t="array" ref="NY16">INDEX(增益!$A$2:$Q$40,NV16,MATCH(NY$8,增益!$B$1:$Q$1,0)+1)*$AI16</f>
        <v>0</v>
      </c>
      <c r="NZ16" s="2" cm="1">
        <f t="array" ref="NZ16">INDEX(增益!$A$2:$Q$40,NV16,MATCH(NZ$8,增益!$B$1:$Q$1,0)+1)*$AI16</f>
        <v>0</v>
      </c>
      <c r="OA16" s="2" cm="1">
        <f t="array" ref="OA16">INDEX(增益!$A$2:$Q$40,NV16,MATCH(OA$8,增益!$B$1:$Q$1,0)+1)*$AI16</f>
        <v>0</v>
      </c>
      <c r="OB16" s="2" cm="1">
        <f t="array" ref="OB16">INDEX(增益!$A$2:$Q$40,NV16,MATCH(OB$8,增益!$B$1:$Q$1,0)+1)*$AI16</f>
        <v>0</v>
      </c>
      <c r="OC16" s="2" cm="1">
        <f t="array" ref="OC16">INDEX(增益!$A$2:$Q$40,NV16,MATCH(OC$8,增益!$B$1:$Q$1,0)+1)*$AI16</f>
        <v>0</v>
      </c>
      <c r="OD16" s="2" cm="1">
        <f t="array" ref="OD16">INDEX(增益!$A$2:$Q$40,NV16,MATCH(OD$8,增益!$B$1:$Q$1,0)+1)*$AI16</f>
        <v>0</v>
      </c>
      <c r="OE16" s="2" cm="1">
        <f t="array" ref="OE16">INDEX(增益!$A$2:$Q$40,NV16,MATCH(OE$8,增益!$B$1:$Q$1,0)+1)*$AI16</f>
        <v>0</v>
      </c>
      <c r="OF16" s="2" cm="1">
        <f t="array" ref="OF16">INDEX(增益!$A$2:$Q$40,NV16,MATCH(OF$8,增益!$B$1:$Q$1,0)+1)*$AI16</f>
        <v>0</v>
      </c>
      <c r="OM16" s="2" cm="1">
        <f t="array" ref="OM16">INDEX(增益!$A$2:$Q$40,NV16,MATCH(OM$8,增益!$B$1:$Q$1,0)+1)*$AI16</f>
        <v>0</v>
      </c>
      <c r="ON16" s="2" cm="1">
        <f t="array" ref="ON16">INDEX(增益!$A$2:$Q$40,NV16,MATCH(ON$8,增益!$B$1:$Q$1,0)+1)*$AI16</f>
        <v>0</v>
      </c>
      <c r="OO16" s="2" cm="1">
        <f t="array" ref="OO16">INDEX(增益!$A$2:$Q$40,NV16,MATCH(OO$8,增益!$B$1:$Q$1,0)+1)*$AI16</f>
        <v>0</v>
      </c>
      <c r="OQ16" s="2" cm="1">
        <f t="array" ref="OQ16">INDEX(增益!$A$2:$Q$40,NV16,MATCH(OQ$8,增益!$B$1:$Q$1,0)+1)*$AI16</f>
        <v>0</v>
      </c>
      <c r="OS16" s="2" cm="1">
        <f t="array" ref="OS16">INDEX(增益!$A$2:$Q$40,NV16,MATCH(OS$8,增益!$B$1:$Q$1,0)+1)*$AI16</f>
        <v>0</v>
      </c>
      <c r="OT16" s="2" cm="1">
        <f t="array" ref="OT16">INDEX(增益!$A$2:$Q$40,NV16,MATCH(OT$8,增益!$B$1:$Q$1,0)+1)*$AI16</f>
        <v>0</v>
      </c>
      <c r="OX16" s="2" cm="1">
        <f t="array" ref="OX16">INDEX(云配队!$J21:$AC21,1,OX$1)</f>
        <v>0</v>
      </c>
      <c r="OY16" s="2">
        <f>IFERROR(MATCH(OX16,增益!$A$2:$A$40,FALSE),1)</f>
        <v>1</v>
      </c>
      <c r="OZ16" s="2" cm="1">
        <f t="array" ref="OZ16">INDEX(增益!$A$2:$Q$40,OY16,MATCH(OZ$8,增益!$B$1:$Q$1,0)+1)*$AI16</f>
        <v>0</v>
      </c>
      <c r="PA16" s="2" cm="1">
        <f t="array" ref="PA16">INDEX(增益!$A$2:$Q$40,OY16,MATCH(PA$8,增益!$B$1:$Q$1,0)+1)*$AI16</f>
        <v>0</v>
      </c>
      <c r="PB16" s="2" cm="1">
        <f t="array" ref="PB16">INDEX(增益!$A$2:$Q$40,OY16,MATCH(PB$8,增益!$B$1:$Q$1,0)+1)*$AI16</f>
        <v>0</v>
      </c>
      <c r="PC16" s="2" cm="1">
        <f t="array" ref="PC16">INDEX(增益!$A$2:$Q$40,OY16,MATCH(PC$8,增益!$B$1:$Q$1,0)+1)*$AI16</f>
        <v>0</v>
      </c>
      <c r="PD16" s="2" cm="1">
        <f t="array" ref="PD16">INDEX(增益!$A$2:$Q$40,OY16,MATCH(PD$8,增益!$B$1:$Q$1,0)+1)*$AI16</f>
        <v>0</v>
      </c>
      <c r="PE16" s="2" cm="1">
        <f t="array" ref="PE16">INDEX(增益!$A$2:$Q$40,OY16,MATCH(PE$8,增益!$B$1:$Q$1,0)+1)*$AI16</f>
        <v>0</v>
      </c>
      <c r="PF16" s="2" cm="1">
        <f t="array" ref="PF16">INDEX(增益!$A$2:$Q$40,OY16,MATCH(PF$8,增益!$B$1:$Q$1,0)+1)*$AI16</f>
        <v>0</v>
      </c>
      <c r="PG16" s="2" cm="1">
        <f t="array" ref="PG16">INDEX(增益!$A$2:$Q$40,OY16,MATCH(PG$8,增益!$B$1:$Q$1,0)+1)*$AI16</f>
        <v>0</v>
      </c>
      <c r="PH16" s="2" cm="1">
        <f t="array" ref="PH16">INDEX(增益!$A$2:$Q$40,OY16,MATCH(PH$8,增益!$B$1:$Q$1,0)+1)*$AI16</f>
        <v>0</v>
      </c>
      <c r="PI16" s="2" cm="1">
        <f t="array" ref="PI16">INDEX(增益!$A$2:$Q$40,OY16,MATCH(PI$8,增益!$B$1:$Q$1,0)+1)*$AI16</f>
        <v>0</v>
      </c>
      <c r="PP16" s="2" cm="1">
        <f t="array" ref="PP16">INDEX(增益!$A$2:$Q$40,OY16,MATCH(PP$8,增益!$B$1:$Q$1,0)+1)*$AI16</f>
        <v>0</v>
      </c>
      <c r="PQ16" s="2" cm="1">
        <f t="array" ref="PQ16">INDEX(增益!$A$2:$Q$40,OY16,MATCH(PQ$8,增益!$B$1:$Q$1,0)+1)*$AI16</f>
        <v>0</v>
      </c>
      <c r="PR16" s="2" cm="1">
        <f t="array" ref="PR16">INDEX(增益!$A$2:$Q$40,OY16,MATCH(PR$8,增益!$B$1:$Q$1,0)+1)*$AI16</f>
        <v>0</v>
      </c>
      <c r="PT16" s="2" cm="1">
        <f t="array" ref="PT16">INDEX(增益!$A$2:$Q$40,OY16,MATCH(PT$8,增益!$B$1:$Q$1,0)+1)*$AI16</f>
        <v>0</v>
      </c>
      <c r="PV16" s="2" cm="1">
        <f t="array" ref="PV16">INDEX(增益!$A$2:$Q$40,OY16,MATCH(PV$8,增益!$B$1:$Q$1,0)+1)*$AI16</f>
        <v>0</v>
      </c>
      <c r="PW16" s="2" cm="1">
        <f t="array" ref="PW16">INDEX(增益!$A$2:$Q$40,OY16,MATCH(PW$8,增益!$B$1:$Q$1,0)+1)*$AI16</f>
        <v>0</v>
      </c>
      <c r="QA16" s="2" cm="1">
        <f t="array" ref="QA16">INDEX(云配队!$J21:$AC21,1,QA$1)</f>
        <v>0</v>
      </c>
      <c r="QB16" s="2">
        <f>IFERROR(MATCH(QA16,增益!$A$2:$A$40,FALSE),1)</f>
        <v>1</v>
      </c>
      <c r="QC16" s="2" cm="1">
        <f t="array" ref="QC16">INDEX(增益!$A$2:$Q$40,QB16,MATCH(QC$8,增益!$B$1:$Q$1,0)+1)*$AI16</f>
        <v>0</v>
      </c>
      <c r="QD16" s="2" cm="1">
        <f t="array" ref="QD16">INDEX(增益!$A$2:$Q$40,QB16,MATCH(QD$8,增益!$B$1:$Q$1,0)+1)*$AI16</f>
        <v>0</v>
      </c>
      <c r="QE16" s="2" cm="1">
        <f t="array" ref="QE16">INDEX(增益!$A$2:$Q$40,QB16,MATCH(QE$8,增益!$B$1:$Q$1,0)+1)*$AI16</f>
        <v>0</v>
      </c>
      <c r="QF16" s="2" cm="1">
        <f t="array" ref="QF16">INDEX(增益!$A$2:$Q$40,QB16,MATCH(QF$8,增益!$B$1:$Q$1,0)+1)*$AI16</f>
        <v>0</v>
      </c>
      <c r="QG16" s="2" cm="1">
        <f t="array" ref="QG16">INDEX(增益!$A$2:$Q$40,QB16,MATCH(QG$8,增益!$B$1:$Q$1,0)+1)*$AI16</f>
        <v>0</v>
      </c>
      <c r="QH16" s="2" cm="1">
        <f t="array" ref="QH16">INDEX(增益!$A$2:$Q$40,QB16,MATCH(QH$8,增益!$B$1:$Q$1,0)+1)*$AI16</f>
        <v>0</v>
      </c>
      <c r="QI16" s="2" cm="1">
        <f t="array" ref="QI16">INDEX(增益!$A$2:$Q$40,QB16,MATCH(QI$8,增益!$B$1:$Q$1,0)+1)*$AI16</f>
        <v>0</v>
      </c>
      <c r="QJ16" s="2" cm="1">
        <f t="array" ref="QJ16">INDEX(增益!$A$2:$Q$40,QB16,MATCH(QJ$8,增益!$B$1:$Q$1,0)+1)*$AI16</f>
        <v>0</v>
      </c>
      <c r="QK16" s="2" cm="1">
        <f t="array" ref="QK16">INDEX(增益!$A$2:$Q$40,QB16,MATCH(QK$8,增益!$B$1:$Q$1,0)+1)*$AI16</f>
        <v>0</v>
      </c>
      <c r="QL16" s="2" cm="1">
        <f t="array" ref="QL16">INDEX(增益!$A$2:$Q$40,QB16,MATCH(QL$8,增益!$B$1:$Q$1,0)+1)*$AI16</f>
        <v>0</v>
      </c>
      <c r="QS16" s="2" cm="1">
        <f t="array" ref="QS16">INDEX(增益!$A$2:$Q$40,QB16,MATCH(QS$8,增益!$B$1:$Q$1,0)+1)*$AI16</f>
        <v>0</v>
      </c>
      <c r="QT16" s="2" cm="1">
        <f t="array" ref="QT16">INDEX(增益!$A$2:$Q$40,QB16,MATCH(QT$8,增益!$B$1:$Q$1,0)+1)*$AI16</f>
        <v>0</v>
      </c>
      <c r="QU16" s="2" cm="1">
        <f t="array" ref="QU16">INDEX(增益!$A$2:$Q$40,QB16,MATCH(QU$8,增益!$B$1:$Q$1,0)+1)*$AI16</f>
        <v>0</v>
      </c>
      <c r="QW16" s="2" cm="1">
        <f t="array" ref="QW16">INDEX(增益!$A$2:$Q$40,QB16,MATCH(QW$8,增益!$B$1:$Q$1,0)+1)*$AI16</f>
        <v>0</v>
      </c>
      <c r="QY16" s="2" cm="1">
        <f t="array" ref="QY16">INDEX(增益!$A$2:$Q$40,QB16,MATCH(QY$8,增益!$B$1:$Q$1,0)+1)*$AI16</f>
        <v>0</v>
      </c>
      <c r="QZ16" s="2" cm="1">
        <f t="array" ref="QZ16">INDEX(增益!$A$2:$Q$40,QB16,MATCH(QZ$8,增益!$B$1:$Q$1,0)+1)*$AI16</f>
        <v>0</v>
      </c>
      <c r="RD16" s="2" cm="1">
        <f t="array" ref="RD16">INDEX(云配队!$J21:$AC21,1,RD$1)</f>
        <v>0</v>
      </c>
      <c r="RE16" s="2">
        <f>IFERROR(MATCH(RD16,增益!$A$2:$A$40,FALSE),1)</f>
        <v>1</v>
      </c>
      <c r="RF16" s="2" cm="1">
        <f t="array" ref="RF16">INDEX(增益!$A$2:$Q$40,RE16,MATCH(RF$8,增益!$B$1:$Q$1,0)+1)*$AI16</f>
        <v>0</v>
      </c>
      <c r="RG16" s="2" cm="1">
        <f t="array" ref="RG16">INDEX(增益!$A$2:$Q$40,RE16,MATCH(RG$8,增益!$B$1:$Q$1,0)+1)*$AI16</f>
        <v>0</v>
      </c>
      <c r="RH16" s="2" cm="1">
        <f t="array" ref="RH16">INDEX(增益!$A$2:$Q$40,RE16,MATCH(RH$8,增益!$B$1:$Q$1,0)+1)*$AI16</f>
        <v>0</v>
      </c>
      <c r="RI16" s="2" cm="1">
        <f t="array" ref="RI16">INDEX(增益!$A$2:$Q$40,RE16,MATCH(RI$8,增益!$B$1:$Q$1,0)+1)*$AI16</f>
        <v>0</v>
      </c>
      <c r="RJ16" s="2" cm="1">
        <f t="array" ref="RJ16">INDEX(增益!$A$2:$Q$40,RE16,MATCH(RJ$8,增益!$B$1:$Q$1,0)+1)*$AI16</f>
        <v>0</v>
      </c>
      <c r="RK16" s="2" cm="1">
        <f t="array" ref="RK16">INDEX(增益!$A$2:$Q$40,RE16,MATCH(RK$8,增益!$B$1:$Q$1,0)+1)*$AI16</f>
        <v>0</v>
      </c>
      <c r="RL16" s="2" cm="1">
        <f t="array" ref="RL16">INDEX(增益!$A$2:$Q$40,RE16,MATCH(RL$8,增益!$B$1:$Q$1,0)+1)*$AI16</f>
        <v>0</v>
      </c>
      <c r="RM16" s="2" cm="1">
        <f t="array" ref="RM16">INDEX(增益!$A$2:$Q$40,RE16,MATCH(RM$8,增益!$B$1:$Q$1,0)+1)*$AI16</f>
        <v>0</v>
      </c>
      <c r="RN16" s="2" cm="1">
        <f t="array" ref="RN16">INDEX(增益!$A$2:$Q$40,RE16,MATCH(RN$8,增益!$B$1:$Q$1,0)+1)*$AI16</f>
        <v>0</v>
      </c>
      <c r="RO16" s="2" cm="1">
        <f t="array" ref="RO16">INDEX(增益!$A$2:$Q$40,RE16,MATCH(RO$8,增益!$B$1:$Q$1,0)+1)*$AI16</f>
        <v>0</v>
      </c>
      <c r="RV16" s="2" cm="1">
        <f t="array" ref="RV16">INDEX(增益!$A$2:$Q$40,RE16,MATCH(RV$8,增益!$B$1:$Q$1,0)+1)*$AI16</f>
        <v>0</v>
      </c>
      <c r="RW16" s="2" cm="1">
        <f t="array" ref="RW16">INDEX(增益!$A$2:$Q$40,RE16,MATCH(RW$8,增益!$B$1:$Q$1,0)+1)*$AI16</f>
        <v>0</v>
      </c>
      <c r="RX16" s="2" cm="1">
        <f t="array" ref="RX16">INDEX(增益!$A$2:$Q$40,RE16,MATCH(RX$8,增益!$B$1:$Q$1,0)+1)*$AI16</f>
        <v>0</v>
      </c>
      <c r="RZ16" s="2" cm="1">
        <f t="array" ref="RZ16">INDEX(增益!$A$2:$Q$40,RE16,MATCH(RZ$8,增益!$B$1:$Q$1,0)+1)*$AI16</f>
        <v>0</v>
      </c>
      <c r="SB16" s="2" cm="1">
        <f t="array" ref="SB16">INDEX(增益!$A$2:$Q$40,RE16,MATCH(SB$8,增益!$B$1:$Q$1,0)+1)*$AI16</f>
        <v>0</v>
      </c>
      <c r="SC16" s="2" cm="1">
        <f t="array" ref="SC16">INDEX(增益!$A$2:$Q$40,RE16,MATCH(SC$8,增益!$B$1:$Q$1,0)+1)*$AI16</f>
        <v>0</v>
      </c>
      <c r="SG16" s="2" cm="1">
        <f t="array" ref="SG16">INDEX(云配队!$J21:$AC21,1,SG$1)</f>
        <v>0</v>
      </c>
      <c r="SH16" s="2">
        <f>IFERROR(MATCH(SG16,增益!$A$2:$A$40,FALSE),1)</f>
        <v>1</v>
      </c>
      <c r="SI16" s="2" cm="1">
        <f t="array" ref="SI16">INDEX(增益!$A$2:$Q$40,SH16,MATCH(SI$8,增益!$B$1:$Q$1,0)+1)*$AI16</f>
        <v>0</v>
      </c>
      <c r="SJ16" s="2" cm="1">
        <f t="array" ref="SJ16">INDEX(增益!$A$2:$Q$40,SH16,MATCH(SJ$8,增益!$B$1:$Q$1,0)+1)*$AI16</f>
        <v>0</v>
      </c>
      <c r="SK16" s="2" cm="1">
        <f t="array" ref="SK16">INDEX(增益!$A$2:$Q$40,SH16,MATCH(SK$8,增益!$B$1:$Q$1,0)+1)*$AI16</f>
        <v>0</v>
      </c>
      <c r="SL16" s="2" cm="1">
        <f t="array" ref="SL16">INDEX(增益!$A$2:$Q$40,SH16,MATCH(SL$8,增益!$B$1:$Q$1,0)+1)*$AI16</f>
        <v>0</v>
      </c>
      <c r="SM16" s="2" cm="1">
        <f t="array" ref="SM16">INDEX(增益!$A$2:$Q$40,SH16,MATCH(SM$8,增益!$B$1:$Q$1,0)+1)*$AI16</f>
        <v>0</v>
      </c>
      <c r="SN16" s="2" cm="1">
        <f t="array" ref="SN16">INDEX(增益!$A$2:$Q$40,SH16,MATCH(SN$8,增益!$B$1:$Q$1,0)+1)*$AI16</f>
        <v>0</v>
      </c>
      <c r="SO16" s="2" cm="1">
        <f t="array" ref="SO16">INDEX(增益!$A$2:$Q$40,SH16,MATCH(SO$8,增益!$B$1:$Q$1,0)+1)*$AI16</f>
        <v>0</v>
      </c>
      <c r="SP16" s="2" cm="1">
        <f t="array" ref="SP16">INDEX(增益!$A$2:$Q$40,SH16,MATCH(SP$8,增益!$B$1:$Q$1,0)+1)*$AI16</f>
        <v>0</v>
      </c>
      <c r="SQ16" s="2" cm="1">
        <f t="array" ref="SQ16">INDEX(增益!$A$2:$Q$40,SH16,MATCH(SQ$8,增益!$B$1:$Q$1,0)+1)*$AI16</f>
        <v>0</v>
      </c>
      <c r="SR16" s="2" cm="1">
        <f t="array" ref="SR16">INDEX(增益!$A$2:$Q$40,SH16,MATCH(SR$8,增益!$B$1:$Q$1,0)+1)*$AI16</f>
        <v>0</v>
      </c>
      <c r="SY16" s="2" cm="1">
        <f t="array" ref="SY16">INDEX(增益!$A$2:$Q$40,SH16,MATCH(SY$8,增益!$B$1:$Q$1,0)+1)*$AI16</f>
        <v>0</v>
      </c>
      <c r="SZ16" s="2" cm="1">
        <f t="array" ref="SZ16">INDEX(增益!$A$2:$Q$40,SH16,MATCH(SZ$8,增益!$B$1:$Q$1,0)+1)*$AI16</f>
        <v>0</v>
      </c>
      <c r="TA16" s="2" cm="1">
        <f t="array" ref="TA16">INDEX(增益!$A$2:$Q$40,SH16,MATCH(TA$8,增益!$B$1:$Q$1,0)+1)*$AI16</f>
        <v>0</v>
      </c>
      <c r="TC16" s="2" cm="1">
        <f t="array" ref="TC16">INDEX(增益!$A$2:$Q$40,SH16,MATCH(TC$8,增益!$B$1:$Q$1,0)+1)*$AI16</f>
        <v>0</v>
      </c>
      <c r="TE16" s="2" cm="1">
        <f t="array" ref="TE16">INDEX(增益!$A$2:$Q$40,SH16,MATCH(TE$8,增益!$B$1:$Q$1,0)+1)*$AI16</f>
        <v>0</v>
      </c>
      <c r="TF16" s="2" cm="1">
        <f t="array" ref="TF16">INDEX(增益!$A$2:$Q$40,SH16,MATCH(TF$8,增益!$B$1:$Q$1,0)+1)*$AI16</f>
        <v>0</v>
      </c>
      <c r="TJ16" s="2" cm="1">
        <f t="array" ref="TJ16">INDEX(云配队!$J21:$AC21,1,TJ$1)</f>
        <v>0</v>
      </c>
      <c r="TK16" s="2">
        <f>IFERROR(MATCH(TJ16,增益!$A$2:$A$40,FALSE),1)</f>
        <v>1</v>
      </c>
      <c r="TL16" s="2" cm="1">
        <f t="array" ref="TL16">INDEX(增益!$A$2:$Q$40,TK16,MATCH(TL$8,增益!$B$1:$Q$1,0)+1)*$AI16</f>
        <v>0</v>
      </c>
      <c r="TM16" s="2" cm="1">
        <f t="array" ref="TM16">INDEX(增益!$A$2:$Q$40,TK16,MATCH(TM$8,增益!$B$1:$Q$1,0)+1)*$AI16</f>
        <v>0</v>
      </c>
      <c r="TN16" s="2" cm="1">
        <f t="array" ref="TN16">INDEX(增益!$A$2:$Q$40,TK16,MATCH(TN$8,增益!$B$1:$Q$1,0)+1)*$AI16</f>
        <v>0</v>
      </c>
      <c r="TO16" s="2" cm="1">
        <f t="array" ref="TO16">INDEX(增益!$A$2:$Q$40,TK16,MATCH(TO$8,增益!$B$1:$Q$1,0)+1)*$AI16</f>
        <v>0</v>
      </c>
      <c r="TP16" s="2" cm="1">
        <f t="array" ref="TP16">INDEX(增益!$A$2:$Q$40,TK16,MATCH(TP$8,增益!$B$1:$Q$1,0)+1)*$AI16</f>
        <v>0</v>
      </c>
      <c r="TQ16" s="2" cm="1">
        <f t="array" ref="TQ16">INDEX(增益!$A$2:$Q$40,TK16,MATCH(TQ$8,增益!$B$1:$Q$1,0)+1)*$AI16</f>
        <v>0</v>
      </c>
      <c r="TR16" s="2" cm="1">
        <f t="array" ref="TR16">INDEX(增益!$A$2:$Q$40,TK16,MATCH(TR$8,增益!$B$1:$Q$1,0)+1)*$AI16</f>
        <v>0</v>
      </c>
      <c r="TS16" s="2" cm="1">
        <f t="array" ref="TS16">INDEX(增益!$A$2:$Q$40,TK16,MATCH(TS$8,增益!$B$1:$Q$1,0)+1)*$AI16</f>
        <v>0</v>
      </c>
      <c r="TT16" s="2" cm="1">
        <f t="array" ref="TT16">INDEX(增益!$A$2:$Q$40,TK16,MATCH(TT$8,增益!$B$1:$Q$1,0)+1)*$AI16</f>
        <v>0</v>
      </c>
      <c r="TU16" s="2" cm="1">
        <f t="array" ref="TU16">INDEX(增益!$A$2:$Q$40,TK16,MATCH(TU$8,增益!$B$1:$Q$1,0)+1)*$AI16</f>
        <v>0</v>
      </c>
      <c r="UB16" s="2" cm="1">
        <f t="array" ref="UB16">INDEX(增益!$A$2:$Q$40,TK16,MATCH(UB$8,增益!$B$1:$Q$1,0)+1)*$AI16</f>
        <v>0</v>
      </c>
      <c r="UC16" s="2" cm="1">
        <f t="array" ref="UC16">INDEX(增益!$A$2:$Q$40,TK16,MATCH(UC$8,增益!$B$1:$Q$1,0)+1)*$AI16</f>
        <v>0</v>
      </c>
      <c r="UD16" s="2" cm="1">
        <f t="array" ref="UD16">INDEX(增益!$A$2:$Q$40,TK16,MATCH(UD$8,增益!$B$1:$Q$1,0)+1)*$AI16</f>
        <v>0</v>
      </c>
      <c r="UF16" s="2" cm="1">
        <f t="array" ref="UF16">INDEX(增益!$A$2:$Q$40,TK16,MATCH(UF$8,增益!$B$1:$Q$1,0)+1)*$AI16</f>
        <v>0</v>
      </c>
      <c r="UH16" s="2" cm="1">
        <f t="array" ref="UH16">INDEX(增益!$A$2:$Q$40,TK16,MATCH(UH$8,增益!$B$1:$Q$1,0)+1)*$AI16</f>
        <v>0</v>
      </c>
      <c r="UI16" s="2" cm="1">
        <f t="array" ref="UI16">INDEX(增益!$A$2:$Q$40,TK16,MATCH(UI$8,增益!$B$1:$Q$1,0)+1)*$AI16</f>
        <v>0</v>
      </c>
      <c r="UM16" s="2" cm="1">
        <f t="array" ref="UM16">INDEX(云配队!$J21:$AC21,1,UM$1)</f>
        <v>0</v>
      </c>
      <c r="UN16" s="2">
        <f>IFERROR(MATCH(UM16,增益!$A$2:$A$40,FALSE),1)</f>
        <v>1</v>
      </c>
      <c r="UO16" s="2" cm="1">
        <f t="array" ref="UO16">INDEX(增益!$A$2:$Q$40,UN16,MATCH(UO$8,增益!$B$1:$Q$1,0)+1)*$AI16</f>
        <v>0</v>
      </c>
      <c r="UP16" s="2" cm="1">
        <f t="array" ref="UP16">INDEX(增益!$A$2:$Q$40,UN16,MATCH(UP$8,增益!$B$1:$Q$1,0)+1)*$AI16</f>
        <v>0</v>
      </c>
      <c r="UQ16" s="2" cm="1">
        <f t="array" ref="UQ16">INDEX(增益!$A$2:$Q$40,UN16,MATCH(UQ$8,增益!$B$1:$Q$1,0)+1)*$AI16</f>
        <v>0</v>
      </c>
      <c r="UR16" s="2" cm="1">
        <f t="array" ref="UR16">INDEX(增益!$A$2:$Q$40,UN16,MATCH(UR$8,增益!$B$1:$Q$1,0)+1)*$AI16</f>
        <v>0</v>
      </c>
      <c r="US16" s="2" cm="1">
        <f t="array" ref="US16">INDEX(增益!$A$2:$Q$40,UN16,MATCH(US$8,增益!$B$1:$Q$1,0)+1)*$AI16</f>
        <v>0</v>
      </c>
      <c r="UT16" s="2" cm="1">
        <f t="array" ref="UT16">INDEX(增益!$A$2:$Q$40,UN16,MATCH(UT$8,增益!$B$1:$Q$1,0)+1)*$AI16</f>
        <v>0</v>
      </c>
      <c r="UU16" s="2" cm="1">
        <f t="array" ref="UU16">INDEX(增益!$A$2:$Q$40,UN16,MATCH(UU$8,增益!$B$1:$Q$1,0)+1)*$AI16</f>
        <v>0</v>
      </c>
      <c r="UV16" s="2" cm="1">
        <f t="array" ref="UV16">INDEX(增益!$A$2:$Q$40,UN16,MATCH(UV$8,增益!$B$1:$Q$1,0)+1)*$AI16</f>
        <v>0</v>
      </c>
      <c r="UW16" s="2" cm="1">
        <f t="array" ref="UW16">INDEX(增益!$A$2:$Q$40,UN16,MATCH(UW$8,增益!$B$1:$Q$1,0)+1)*$AI16</f>
        <v>0</v>
      </c>
      <c r="UX16" s="2" cm="1">
        <f t="array" ref="UX16">INDEX(增益!$A$2:$Q$40,UN16,MATCH(UX$8,增益!$B$1:$Q$1,0)+1)*$AI16</f>
        <v>0</v>
      </c>
      <c r="VE16" s="2" cm="1">
        <f t="array" ref="VE16">INDEX(增益!$A$2:$Q$40,UN16,MATCH(VE$8,增益!$B$1:$Q$1,0)+1)*$AI16</f>
        <v>0</v>
      </c>
      <c r="VF16" s="2" cm="1">
        <f t="array" ref="VF16">INDEX(增益!$A$2:$Q$40,UN16,MATCH(VF$8,增益!$B$1:$Q$1,0)+1)*$AI16</f>
        <v>0</v>
      </c>
      <c r="VG16" s="2" cm="1">
        <f t="array" ref="VG16">INDEX(增益!$A$2:$Q$40,UN16,MATCH(VG$8,增益!$B$1:$Q$1,0)+1)*$AI16</f>
        <v>0</v>
      </c>
      <c r="VI16" s="2" cm="1">
        <f t="array" ref="VI16">INDEX(增益!$A$2:$Q$40,UN16,MATCH(VI$8,增益!$B$1:$Q$1,0)+1)*$AI16</f>
        <v>0</v>
      </c>
      <c r="VK16" s="2" cm="1">
        <f t="array" ref="VK16">INDEX(增益!$A$2:$Q$40,UN16,MATCH(VK$8,增益!$B$1:$Q$1,0)+1)*$AI16</f>
        <v>0</v>
      </c>
      <c r="VL16" s="2" cm="1">
        <f t="array" ref="VL16">INDEX(增益!$A$2:$Q$40,UN16,MATCH(VL$8,增益!$B$1:$Q$1,0)+1)*$AI16</f>
        <v>0</v>
      </c>
      <c r="VP16" s="2" cm="1">
        <f t="array" ref="VP16">INDEX(云配队!$J21:$AC21,1,VP$1)</f>
        <v>0</v>
      </c>
      <c r="VQ16" s="2">
        <f>IFERROR(MATCH(VP16,增益!$A$2:$A$40,FALSE),1)</f>
        <v>1</v>
      </c>
      <c r="VR16" s="2" cm="1">
        <f t="array" ref="VR16">INDEX(增益!$A$2:$Q$40,VQ16,MATCH(VR$8,增益!$B$1:$Q$1,0)+1)*$AI16</f>
        <v>0</v>
      </c>
      <c r="VS16" s="2" cm="1">
        <f t="array" ref="VS16">INDEX(增益!$A$2:$Q$40,VQ16,MATCH(VS$8,增益!$B$1:$Q$1,0)+1)*$AI16</f>
        <v>0</v>
      </c>
      <c r="VT16" s="2" cm="1">
        <f t="array" ref="VT16">INDEX(增益!$A$2:$Q$40,VQ16,MATCH(VT$8,增益!$B$1:$Q$1,0)+1)*$AI16</f>
        <v>0</v>
      </c>
      <c r="VU16" s="2" cm="1">
        <f t="array" ref="VU16">INDEX(增益!$A$2:$Q$40,VQ16,MATCH(VU$8,增益!$B$1:$Q$1,0)+1)*$AI16</f>
        <v>0</v>
      </c>
      <c r="VV16" s="2" cm="1">
        <f t="array" ref="VV16">INDEX(增益!$A$2:$Q$40,VQ16,MATCH(VV$8,增益!$B$1:$Q$1,0)+1)*$AI16</f>
        <v>0</v>
      </c>
      <c r="VW16" s="2" cm="1">
        <f t="array" ref="VW16">INDEX(增益!$A$2:$Q$40,VQ16,MATCH(VW$8,增益!$B$1:$Q$1,0)+1)*$AI16</f>
        <v>0</v>
      </c>
      <c r="VX16" s="2" cm="1">
        <f t="array" ref="VX16">INDEX(增益!$A$2:$Q$40,VQ16,MATCH(VX$8,增益!$B$1:$Q$1,0)+1)*$AI16</f>
        <v>0</v>
      </c>
      <c r="VY16" s="2" cm="1">
        <f t="array" ref="VY16">INDEX(增益!$A$2:$Q$40,VQ16,MATCH(VY$8,增益!$B$1:$Q$1,0)+1)*$AI16</f>
        <v>0</v>
      </c>
      <c r="VZ16" s="2" cm="1">
        <f t="array" ref="VZ16">INDEX(增益!$A$2:$Q$40,VQ16,MATCH(VZ$8,增益!$B$1:$Q$1,0)+1)*$AI16</f>
        <v>0</v>
      </c>
      <c r="WA16" s="2" cm="1">
        <f t="array" ref="WA16">INDEX(增益!$A$2:$Q$40,VQ16,MATCH(WA$8,增益!$B$1:$Q$1,0)+1)*$AI16</f>
        <v>0</v>
      </c>
      <c r="WH16" s="2" cm="1">
        <f t="array" ref="WH16">INDEX(增益!$A$2:$Q$40,VQ16,MATCH(WH$8,增益!$B$1:$Q$1,0)+1)*$AI16</f>
        <v>0</v>
      </c>
      <c r="WI16" s="2" cm="1">
        <f t="array" ref="WI16">INDEX(增益!$A$2:$Q$40,VQ16,MATCH(WI$8,增益!$B$1:$Q$1,0)+1)*$AI16</f>
        <v>0</v>
      </c>
      <c r="WJ16" s="2" cm="1">
        <f t="array" ref="WJ16">INDEX(增益!$A$2:$Q$40,VQ16,MATCH(WJ$8,增益!$B$1:$Q$1,0)+1)*$AI16</f>
        <v>0</v>
      </c>
      <c r="WL16" s="2" cm="1">
        <f t="array" ref="WL16">INDEX(增益!$A$2:$Q$40,VQ16,MATCH(WL$8,增益!$B$1:$Q$1,0)+1)*$AI16</f>
        <v>0</v>
      </c>
      <c r="WN16" s="2" cm="1">
        <f t="array" ref="WN16">INDEX(增益!$A$2:$Q$40,VQ16,MATCH(WN$8,增益!$B$1:$Q$1,0)+1)*$AI16</f>
        <v>0</v>
      </c>
      <c r="WO16" s="2" cm="1">
        <f t="array" ref="WO16">INDEX(增益!$A$2:$Q$40,VQ16,MATCH(WO$8,增益!$B$1:$Q$1,0)+1)*$AI16</f>
        <v>0</v>
      </c>
    </row>
    <row r="17" spans="35:616">
      <c r="AI17" s="2">
        <f>IF(云配队!H22&gt;0,云配队!H22,1)</f>
        <v>0.67</v>
      </c>
      <c r="AK17" s="2" t="str" cm="1">
        <f t="array" ref="AK17">INDEX(云配队!$J22:$AC22,1,AK$1)</f>
        <v>光套减防</v>
      </c>
      <c r="AL17" s="2">
        <f>IFERROR(MATCH(AK17,增益!$A$2:$A$40,FALSE),1)</f>
        <v>23</v>
      </c>
      <c r="AM17" s="2" cm="1">
        <f t="array" ref="AM17">INDEX(增益!$A$2:$Q$40,AL17,MATCH(AM$8,增益!$B$1:$Q$1,0)+1)*$AI17</f>
        <v>0</v>
      </c>
      <c r="AN17" s="2" cm="1">
        <f t="array" ref="AN17">INDEX(增益!$A$2:$Q$40,AL17,MATCH(AN$8,增益!$B$1:$Q$1,0)+1)*$AI17</f>
        <v>0</v>
      </c>
      <c r="AO17" s="2" cm="1">
        <f t="array" ref="AO17">INDEX(增益!$A$2:$Q$40,AL17,MATCH(AO$8,增益!$B$1:$Q$1,0)+1)*$AI17</f>
        <v>0</v>
      </c>
      <c r="AP17" s="2" cm="1">
        <f t="array" ref="AP17">INDEX(增益!$A$2:$Q$40,AL17,MATCH(AP$8,增益!$B$1:$Q$1,0)+1)*$AI17</f>
        <v>0</v>
      </c>
      <c r="AQ17" s="2" cm="1">
        <f t="array" ref="AQ17">INDEX(增益!$A$2:$Q$40,AL17,MATCH(AQ$8,增益!$B$1:$Q$1,0)+1)*$AI17</f>
        <v>0</v>
      </c>
      <c r="AR17" s="2" cm="1">
        <f t="array" ref="AR17">INDEX(增益!$A$2:$Q$40,AL17,MATCH(AR$8,增益!$B$1:$Q$1,0)+1)*$AI17</f>
        <v>0</v>
      </c>
      <c r="AS17" s="2" cm="1">
        <f t="array" ref="AS17">INDEX(增益!$A$2:$Q$40,AL17,MATCH(AS$8,增益!$B$1:$Q$1,0)+1)*$AI17</f>
        <v>0</v>
      </c>
      <c r="AT17" s="2" cm="1">
        <f t="array" ref="AT17">INDEX(增益!$A$2:$Q$40,AL17,MATCH(AT$8,增益!$B$1:$Q$1,0)+1)*$AI17</f>
        <v>0</v>
      </c>
      <c r="AU17" s="2" cm="1">
        <f t="array" ref="AU17">INDEX(增益!$A$2:$Q$40,AL17,MATCH(AU$8,增益!$B$1:$Q$1,0)+1)*$AI17</f>
        <v>0</v>
      </c>
      <c r="AV17" s="2" cm="1">
        <f t="array" ref="AV17">INDEX(增益!$A$2:$Q$40,AL17,MATCH(AV$8,增益!$B$1:$Q$1,0)+1)*$AI17</f>
        <v>0</v>
      </c>
      <c r="BC17" s="2" cm="1">
        <f t="array" ref="BC17">INDEX(增益!$A$2:$Q$40,AL17,MATCH(BC$8,增益!$B$1:$Q$1,0)+1)*$AI17</f>
        <v>0</v>
      </c>
      <c r="BD17" s="2" cm="1">
        <f t="array" ref="BD17">INDEX(增益!$A$2:$Q$40,AL17,MATCH(BD$8,增益!$B$1:$Q$1,0)+1)*$AI17</f>
        <v>0</v>
      </c>
      <c r="BE17" s="2" cm="1">
        <f t="array" ref="BE17">INDEX(增益!$A$2:$Q$40,AL17,MATCH(BE$8,增益!$B$1:$Q$1,0)+1)*$AI17</f>
        <v>0</v>
      </c>
      <c r="BG17" s="2" cm="1">
        <f t="array" ref="BG17">INDEX(增益!$A$2:$Q$40,AL17,MATCH(BG$8,增益!$B$1:$Q$1,0)+1)*$AI17</f>
        <v>0</v>
      </c>
      <c r="BI17" s="2" cm="1">
        <f t="array" ref="BI17">INDEX(增益!$A$2:$Q$40,AL17,MATCH(BI$8,增益!$B$1:$Q$1,0)+1)*$AI17</f>
        <v>0.1675</v>
      </c>
      <c r="BJ17" s="2" cm="1">
        <f t="array" ref="BJ17">INDEX(增益!$A$2:$Q$40,AL17,MATCH(BJ$8,增益!$B$1:$Q$1,0)+1)*$AI17</f>
        <v>0</v>
      </c>
      <c r="BN17" s="2" cm="1">
        <f t="array" ref="BN17">INDEX(云配队!$J22:$AC22,1,BN$1)</f>
        <v>0</v>
      </c>
      <c r="BO17" s="2">
        <f>IFERROR(MATCH(BN17,增益!$A$2:$A$40,FALSE),1)</f>
        <v>1</v>
      </c>
      <c r="BP17" s="2" cm="1">
        <f t="array" ref="BP17">INDEX(增益!$A$2:$Q$40,BO17,MATCH(BP$8,增益!$B$1:$Q$1,0)+1)*$AI17</f>
        <v>0</v>
      </c>
      <c r="BQ17" s="2" cm="1">
        <f t="array" ref="BQ17">INDEX(增益!$A$2:$Q$40,BO17,MATCH(BQ$8,增益!$B$1:$Q$1,0)+1)*$AI17</f>
        <v>0</v>
      </c>
      <c r="BR17" s="2" cm="1">
        <f t="array" ref="BR17">INDEX(增益!$A$2:$Q$40,BO17,MATCH(BR$8,增益!$B$1:$Q$1,0)+1)*$AI17</f>
        <v>0</v>
      </c>
      <c r="BS17" s="2" cm="1">
        <f t="array" ref="BS17">INDEX(增益!$A$2:$Q$40,BO17,MATCH(BS$8,增益!$B$1:$Q$1,0)+1)*$AI17</f>
        <v>0</v>
      </c>
      <c r="BT17" s="2" cm="1">
        <f t="array" ref="BT17">INDEX(增益!$A$2:$Q$40,BO17,MATCH(BT$8,增益!$B$1:$Q$1,0)+1)*$AI17</f>
        <v>0</v>
      </c>
      <c r="BU17" s="2" cm="1">
        <f t="array" ref="BU17">INDEX(增益!$A$2:$Q$40,BO17,MATCH(BU$8,增益!$B$1:$Q$1,0)+1)*$AI17</f>
        <v>0</v>
      </c>
      <c r="BV17" s="2" cm="1">
        <f t="array" ref="BV17">INDEX(增益!$A$2:$Q$40,BO17,MATCH(BV$8,增益!$B$1:$Q$1,0)+1)*$AI17</f>
        <v>0</v>
      </c>
      <c r="BW17" s="2" cm="1">
        <f t="array" ref="BW17">INDEX(增益!$A$2:$Q$40,BO17,MATCH(BW$8,增益!$B$1:$Q$1,0)+1)*$AI17</f>
        <v>0</v>
      </c>
      <c r="BX17" s="2" cm="1">
        <f t="array" ref="BX17">INDEX(增益!$A$2:$Q$40,BO17,MATCH(BX$8,增益!$B$1:$Q$1,0)+1)*$AI17</f>
        <v>0</v>
      </c>
      <c r="BY17" s="2" cm="1">
        <f t="array" ref="BY17">INDEX(增益!$A$2:$Q$40,BO17,MATCH(BY$8,增益!$B$1:$Q$1,0)+1)*$AI17</f>
        <v>0</v>
      </c>
      <c r="CF17" s="2" cm="1">
        <f t="array" ref="CF17">INDEX(增益!$A$2:$Q$40,BO17,MATCH(CF$8,增益!$B$1:$Q$1,0)+1)*$AI17</f>
        <v>0</v>
      </c>
      <c r="CG17" s="2" cm="1">
        <f t="array" ref="CG17">INDEX(增益!$A$2:$Q$40,BO17,MATCH(CG$8,增益!$B$1:$Q$1,0)+1)*$AI17</f>
        <v>0</v>
      </c>
      <c r="CH17" s="2" cm="1">
        <f t="array" ref="CH17">INDEX(增益!$A$2:$Q$40,BO17,MATCH(CH$8,增益!$B$1:$Q$1,0)+1)*$AI17</f>
        <v>0</v>
      </c>
      <c r="CJ17" s="2" cm="1">
        <f t="array" ref="CJ17">INDEX(增益!$A$2:$Q$40,BO17,MATCH(CJ$8,增益!$B$1:$Q$1,0)+1)*$AI17</f>
        <v>0</v>
      </c>
      <c r="CL17" s="2" cm="1">
        <f t="array" ref="CL17">INDEX(增益!$A$2:$Q$40,BO17,MATCH(CL$8,增益!$B$1:$Q$1,0)+1)*$AI17</f>
        <v>0</v>
      </c>
      <c r="CM17" s="2" cm="1">
        <f t="array" ref="CM17">INDEX(增益!$A$2:$Q$40,BO17,MATCH(CM$8,增益!$B$1:$Q$1,0)+1)*$AI17</f>
        <v>0</v>
      </c>
      <c r="CQ17" s="2" cm="1">
        <f t="array" ref="CQ17">INDEX(云配队!$J22:$AC22,1,CQ$1)</f>
        <v>0</v>
      </c>
      <c r="CR17" s="2">
        <f>IFERROR(MATCH(CQ17,增益!$A$2:$A$40,FALSE),1)</f>
        <v>1</v>
      </c>
      <c r="CS17" s="2" cm="1">
        <f t="array" ref="CS17">INDEX(增益!$A$2:$Q$40,CR17,MATCH(CS$8,增益!$B$1:$Q$1,0)+1)*$AI17</f>
        <v>0</v>
      </c>
      <c r="CT17" s="2" cm="1">
        <f t="array" ref="CT17">INDEX(增益!$A$2:$Q$40,CR17,MATCH(CT$8,增益!$B$1:$Q$1,0)+1)*$AI17</f>
        <v>0</v>
      </c>
      <c r="CU17" s="2" cm="1">
        <f t="array" ref="CU17">INDEX(增益!$A$2:$Q$40,CR17,MATCH(CU$8,增益!$B$1:$Q$1,0)+1)*$AI17</f>
        <v>0</v>
      </c>
      <c r="CV17" s="2" cm="1">
        <f t="array" ref="CV17">INDEX(增益!$A$2:$Q$40,CR17,MATCH(CV$8,增益!$B$1:$Q$1,0)+1)*$AI17</f>
        <v>0</v>
      </c>
      <c r="CW17" s="2" cm="1">
        <f t="array" ref="CW17">INDEX(增益!$A$2:$Q$40,CR17,MATCH(CW$8,增益!$B$1:$Q$1,0)+1)*$AI17</f>
        <v>0</v>
      </c>
      <c r="CX17" s="2" cm="1">
        <f t="array" ref="CX17">INDEX(增益!$A$2:$Q$40,CR17,MATCH(CX$8,增益!$B$1:$Q$1,0)+1)*$AI17</f>
        <v>0</v>
      </c>
      <c r="CY17" s="2" cm="1">
        <f t="array" ref="CY17">INDEX(增益!$A$2:$Q$40,CR17,MATCH(CY$8,增益!$B$1:$Q$1,0)+1)*$AI17</f>
        <v>0</v>
      </c>
      <c r="CZ17" s="2" cm="1">
        <f t="array" ref="CZ17">INDEX(增益!$A$2:$Q$40,CR17,MATCH(CZ$8,增益!$B$1:$Q$1,0)+1)*$AI17</f>
        <v>0</v>
      </c>
      <c r="DA17" s="2" cm="1">
        <f t="array" ref="DA17">INDEX(增益!$A$2:$Q$40,CR17,MATCH(DA$8,增益!$B$1:$Q$1,0)+1)*$AI17</f>
        <v>0</v>
      </c>
      <c r="DB17" s="2" cm="1">
        <f t="array" ref="DB17">INDEX(增益!$A$2:$Q$40,CR17,MATCH(DB$8,增益!$B$1:$Q$1,0)+1)*$AI17</f>
        <v>0</v>
      </c>
      <c r="DI17" s="2" cm="1">
        <f t="array" ref="DI17">INDEX(增益!$A$2:$Q$40,CR17,MATCH(DI$8,增益!$B$1:$Q$1,0)+1)*$AI17</f>
        <v>0</v>
      </c>
      <c r="DJ17" s="2" cm="1">
        <f t="array" ref="DJ17">INDEX(增益!$A$2:$Q$40,CR17,MATCH(DJ$8,增益!$B$1:$Q$1,0)+1)*$AI17</f>
        <v>0</v>
      </c>
      <c r="DK17" s="2" cm="1">
        <f t="array" ref="DK17">INDEX(增益!$A$2:$Q$40,CR17,MATCH(DK$8,增益!$B$1:$Q$1,0)+1)*$AI17</f>
        <v>0</v>
      </c>
      <c r="DM17" s="2" cm="1">
        <f t="array" ref="DM17">INDEX(增益!$A$2:$Q$40,CR17,MATCH(DM$8,增益!$B$1:$Q$1,0)+1)*$AI17</f>
        <v>0</v>
      </c>
      <c r="DO17" s="2" cm="1">
        <f t="array" ref="DO17">INDEX(增益!$A$2:$Q$40,CR17,MATCH(DO$8,增益!$B$1:$Q$1,0)+1)*$AI17</f>
        <v>0</v>
      </c>
      <c r="DP17" s="2" cm="1">
        <f t="array" ref="DP17">INDEX(增益!$A$2:$Q$40,CR17,MATCH(DP$8,增益!$B$1:$Q$1,0)+1)*$AI17</f>
        <v>0</v>
      </c>
      <c r="DT17" s="2" cm="1">
        <f t="array" ref="DT17">INDEX(云配队!$J22:$AC22,1,DT$1)</f>
        <v>0</v>
      </c>
      <c r="DU17" s="2">
        <f>IFERROR(MATCH(DT17,增益!$A$2:$A$40,FALSE),1)</f>
        <v>1</v>
      </c>
      <c r="DV17" s="2" cm="1">
        <f t="array" ref="DV17">INDEX(增益!$A$2:$Q$40,DU17,MATCH(DV$8,增益!$B$1:$Q$1,0)+1)*$AI17</f>
        <v>0</v>
      </c>
      <c r="DW17" s="2" cm="1">
        <f t="array" ref="DW17">INDEX(增益!$A$2:$Q$40,DU17,MATCH(DW$8,增益!$B$1:$Q$1,0)+1)*$AI17</f>
        <v>0</v>
      </c>
      <c r="DX17" s="2" cm="1">
        <f t="array" ref="DX17">INDEX(增益!$A$2:$Q$40,DU17,MATCH(DX$8,增益!$B$1:$Q$1,0)+1)*$AI17</f>
        <v>0</v>
      </c>
      <c r="DY17" s="2" cm="1">
        <f t="array" ref="DY17">INDEX(增益!$A$2:$Q$40,DU17,MATCH(DY$8,增益!$B$1:$Q$1,0)+1)*$AI17</f>
        <v>0</v>
      </c>
      <c r="DZ17" s="2" cm="1">
        <f t="array" ref="DZ17">INDEX(增益!$A$2:$Q$40,DU17,MATCH(DZ$8,增益!$B$1:$Q$1,0)+1)*$AI17</f>
        <v>0</v>
      </c>
      <c r="EA17" s="2" cm="1">
        <f t="array" ref="EA17">INDEX(增益!$A$2:$Q$40,DU17,MATCH(EA$8,增益!$B$1:$Q$1,0)+1)*$AI17</f>
        <v>0</v>
      </c>
      <c r="EB17" s="2" cm="1">
        <f t="array" ref="EB17">INDEX(增益!$A$2:$Q$40,DU17,MATCH(EB$8,增益!$B$1:$Q$1,0)+1)*$AI17</f>
        <v>0</v>
      </c>
      <c r="EC17" s="2" cm="1">
        <f t="array" ref="EC17">INDEX(增益!$A$2:$Q$40,DU17,MATCH(EC$8,增益!$B$1:$Q$1,0)+1)*$AI17</f>
        <v>0</v>
      </c>
      <c r="ED17" s="2" cm="1">
        <f t="array" ref="ED17">INDEX(增益!$A$2:$Q$40,DU17,MATCH(ED$8,增益!$B$1:$Q$1,0)+1)*$AI17</f>
        <v>0</v>
      </c>
      <c r="EE17" s="2" cm="1">
        <f t="array" ref="EE17">INDEX(增益!$A$2:$Q$40,DU17,MATCH(EE$8,增益!$B$1:$Q$1,0)+1)*$AI17</f>
        <v>0</v>
      </c>
      <c r="EL17" s="2" cm="1">
        <f t="array" ref="EL17">INDEX(增益!$A$2:$Q$40,DU17,MATCH(EL$8,增益!$B$1:$Q$1,0)+1)*$AI17</f>
        <v>0</v>
      </c>
      <c r="EM17" s="2" cm="1">
        <f t="array" ref="EM17">INDEX(增益!$A$2:$Q$40,DU17,MATCH(EM$8,增益!$B$1:$Q$1,0)+1)*$AI17</f>
        <v>0</v>
      </c>
      <c r="EN17" s="2" cm="1">
        <f t="array" ref="EN17">INDEX(增益!$A$2:$Q$40,DU17,MATCH(EN$8,增益!$B$1:$Q$1,0)+1)*$AI17</f>
        <v>0</v>
      </c>
      <c r="EP17" s="2" cm="1">
        <f t="array" ref="EP17">INDEX(增益!$A$2:$Q$40,DU17,MATCH(EP$8,增益!$B$1:$Q$1,0)+1)*$AI17</f>
        <v>0</v>
      </c>
      <c r="ER17" s="2" cm="1">
        <f t="array" ref="ER17">INDEX(增益!$A$2:$Q$40,DU17,MATCH(ER$8,增益!$B$1:$Q$1,0)+1)*$AI17</f>
        <v>0</v>
      </c>
      <c r="ES17" s="2" cm="1">
        <f t="array" ref="ES17">INDEX(增益!$A$2:$Q$40,DU17,MATCH(ES$8,增益!$B$1:$Q$1,0)+1)*$AI17</f>
        <v>0</v>
      </c>
      <c r="EW17" s="2" cm="1">
        <f t="array" ref="EW17">INDEX(云配队!$J22:$AC22,1,EW$1)</f>
        <v>0</v>
      </c>
      <c r="EX17" s="2">
        <f>IFERROR(MATCH(EW17,增益!$A$2:$A$40,FALSE),1)</f>
        <v>1</v>
      </c>
      <c r="EY17" s="2" cm="1">
        <f t="array" ref="EY17">INDEX(增益!$A$2:$Q$40,EX17,MATCH(EY$8,增益!$B$1:$Q$1,0)+1)*$AI17</f>
        <v>0</v>
      </c>
      <c r="EZ17" s="2" cm="1">
        <f t="array" ref="EZ17">INDEX(增益!$A$2:$Q$40,EX17,MATCH(EZ$8,增益!$B$1:$Q$1,0)+1)*$AI17</f>
        <v>0</v>
      </c>
      <c r="FA17" s="2" cm="1">
        <f t="array" ref="FA17">INDEX(增益!$A$2:$Q$40,EX17,MATCH(FA$8,增益!$B$1:$Q$1,0)+1)*$AI17</f>
        <v>0</v>
      </c>
      <c r="FB17" s="2" cm="1">
        <f t="array" ref="FB17">INDEX(增益!$A$2:$Q$40,EX17,MATCH(FB$8,增益!$B$1:$Q$1,0)+1)*$AI17</f>
        <v>0</v>
      </c>
      <c r="FC17" s="2" cm="1">
        <f t="array" ref="FC17">INDEX(增益!$A$2:$Q$40,EX17,MATCH(FC$8,增益!$B$1:$Q$1,0)+1)*$AI17</f>
        <v>0</v>
      </c>
      <c r="FD17" s="2" cm="1">
        <f t="array" ref="FD17">INDEX(增益!$A$2:$Q$40,EX17,MATCH(FD$8,增益!$B$1:$Q$1,0)+1)*$AI17</f>
        <v>0</v>
      </c>
      <c r="FE17" s="2" cm="1">
        <f t="array" ref="FE17">INDEX(增益!$A$2:$Q$40,EX17,MATCH(FE$8,增益!$B$1:$Q$1,0)+1)*$AI17</f>
        <v>0</v>
      </c>
      <c r="FF17" s="2" cm="1">
        <f t="array" ref="FF17">INDEX(增益!$A$2:$Q$40,EX17,MATCH(FF$8,增益!$B$1:$Q$1,0)+1)*$AI17</f>
        <v>0</v>
      </c>
      <c r="FG17" s="2" cm="1">
        <f t="array" ref="FG17">INDEX(增益!$A$2:$Q$40,EX17,MATCH(FG$8,增益!$B$1:$Q$1,0)+1)*$AI17</f>
        <v>0</v>
      </c>
      <c r="FH17" s="2" cm="1">
        <f t="array" ref="FH17">INDEX(增益!$A$2:$Q$40,EX17,MATCH(FH$8,增益!$B$1:$Q$1,0)+1)*$AI17</f>
        <v>0</v>
      </c>
      <c r="FO17" s="2" cm="1">
        <f t="array" ref="FO17">INDEX(增益!$A$2:$Q$40,EX17,MATCH(FO$8,增益!$B$1:$Q$1,0)+1)*$AI17</f>
        <v>0</v>
      </c>
      <c r="FP17" s="2" cm="1">
        <f t="array" ref="FP17">INDEX(增益!$A$2:$Q$40,EX17,MATCH(FP$8,增益!$B$1:$Q$1,0)+1)*$AI17</f>
        <v>0</v>
      </c>
      <c r="FQ17" s="2" cm="1">
        <f t="array" ref="FQ17">INDEX(增益!$A$2:$Q$40,EX17,MATCH(FQ$8,增益!$B$1:$Q$1,0)+1)*$AI17</f>
        <v>0</v>
      </c>
      <c r="FS17" s="2" cm="1">
        <f t="array" ref="FS17">INDEX(增益!$A$2:$Q$40,EX17,MATCH(FS$8,增益!$B$1:$Q$1,0)+1)*$AI17</f>
        <v>0</v>
      </c>
      <c r="FU17" s="2" cm="1">
        <f t="array" ref="FU17">INDEX(增益!$A$2:$Q$40,EX17,MATCH(FU$8,增益!$B$1:$Q$1,0)+1)*$AI17</f>
        <v>0</v>
      </c>
      <c r="FV17" s="2" cm="1">
        <f t="array" ref="FV17">INDEX(增益!$A$2:$Q$40,EX17,MATCH(FV$8,增益!$B$1:$Q$1,0)+1)*$AI17</f>
        <v>0</v>
      </c>
      <c r="FZ17" s="2" cm="1">
        <f t="array" ref="FZ17">INDEX(云配队!$J22:$AC22,1,FZ$1)</f>
        <v>0</v>
      </c>
      <c r="GA17" s="2">
        <f>IFERROR(MATCH(FZ17,增益!$A$2:$A$40,FALSE),1)</f>
        <v>1</v>
      </c>
      <c r="GB17" s="2" cm="1">
        <f t="array" ref="GB17">INDEX(增益!$A$2:$Q$40,GA17,MATCH(GB$8,增益!$B$1:$Q$1,0)+1)*$AI17</f>
        <v>0</v>
      </c>
      <c r="GC17" s="2" cm="1">
        <f t="array" ref="GC17">INDEX(增益!$A$2:$Q$40,GA17,MATCH(GC$8,增益!$B$1:$Q$1,0)+1)*$AI17</f>
        <v>0</v>
      </c>
      <c r="GD17" s="2" cm="1">
        <f t="array" ref="GD17">INDEX(增益!$A$2:$Q$40,GA17,MATCH(GD$8,增益!$B$1:$Q$1,0)+1)*$AI17</f>
        <v>0</v>
      </c>
      <c r="GE17" s="2" cm="1">
        <f t="array" ref="GE17">INDEX(增益!$A$2:$Q$40,GA17,MATCH(GE$8,增益!$B$1:$Q$1,0)+1)*$AI17</f>
        <v>0</v>
      </c>
      <c r="GF17" s="2" cm="1">
        <f t="array" ref="GF17">INDEX(增益!$A$2:$Q$40,GA17,MATCH(GF$8,增益!$B$1:$Q$1,0)+1)*$AI17</f>
        <v>0</v>
      </c>
      <c r="GG17" s="2" cm="1">
        <f t="array" ref="GG17">INDEX(增益!$A$2:$Q$40,GA17,MATCH(GG$8,增益!$B$1:$Q$1,0)+1)*$AI17</f>
        <v>0</v>
      </c>
      <c r="GH17" s="2" cm="1">
        <f t="array" ref="GH17">INDEX(增益!$A$2:$Q$40,GA17,MATCH(GH$8,增益!$B$1:$Q$1,0)+1)*$AI17</f>
        <v>0</v>
      </c>
      <c r="GI17" s="2" cm="1">
        <f t="array" ref="GI17">INDEX(增益!$A$2:$Q$40,GA17,MATCH(GI$8,增益!$B$1:$Q$1,0)+1)*$AI17</f>
        <v>0</v>
      </c>
      <c r="GJ17" s="2" cm="1">
        <f t="array" ref="GJ17">INDEX(增益!$A$2:$Q$40,GA17,MATCH(GJ$8,增益!$B$1:$Q$1,0)+1)*$AI17</f>
        <v>0</v>
      </c>
      <c r="GK17" s="2" cm="1">
        <f t="array" ref="GK17">INDEX(增益!$A$2:$Q$40,GA17,MATCH(GK$8,增益!$B$1:$Q$1,0)+1)*$AI17</f>
        <v>0</v>
      </c>
      <c r="GR17" s="2" cm="1">
        <f t="array" ref="GR17">INDEX(增益!$A$2:$Q$40,GA17,MATCH(GR$8,增益!$B$1:$Q$1,0)+1)*$AI17</f>
        <v>0</v>
      </c>
      <c r="GS17" s="2" cm="1">
        <f t="array" ref="GS17">INDEX(增益!$A$2:$Q$40,GA17,MATCH(GS$8,增益!$B$1:$Q$1,0)+1)*$AI17</f>
        <v>0</v>
      </c>
      <c r="GT17" s="2" cm="1">
        <f t="array" ref="GT17">INDEX(增益!$A$2:$Q$40,GA17,MATCH(GT$8,增益!$B$1:$Q$1,0)+1)*$AI17</f>
        <v>0</v>
      </c>
      <c r="GV17" s="2" cm="1">
        <f t="array" ref="GV17">INDEX(增益!$A$2:$Q$40,GA17,MATCH(GV$8,增益!$B$1:$Q$1,0)+1)*$AI17</f>
        <v>0</v>
      </c>
      <c r="GX17" s="2" cm="1">
        <f t="array" ref="GX17">INDEX(增益!$A$2:$Q$40,GA17,MATCH(GX$8,增益!$B$1:$Q$1,0)+1)*$AI17</f>
        <v>0</v>
      </c>
      <c r="GY17" s="2" cm="1">
        <f t="array" ref="GY17">INDEX(增益!$A$2:$Q$40,GA17,MATCH(GY$8,增益!$B$1:$Q$1,0)+1)*$AI17</f>
        <v>0</v>
      </c>
      <c r="HC17" s="2" cm="1">
        <f t="array" ref="HC17">INDEX(云配队!$J22:$AC22,1,HC$1)</f>
        <v>0</v>
      </c>
      <c r="HD17" s="2">
        <f>IFERROR(MATCH(HC17,增益!$A$2:$A$40,FALSE),1)</f>
        <v>1</v>
      </c>
      <c r="HE17" s="2" cm="1">
        <f t="array" ref="HE17">INDEX(增益!$A$2:$Q$40,HD17,MATCH(HE$8,增益!$B$1:$Q$1,0)+1)*$AI17</f>
        <v>0</v>
      </c>
      <c r="HF17" s="2" cm="1">
        <f t="array" ref="HF17">INDEX(增益!$A$2:$Q$40,HD17,MATCH(HF$8,增益!$B$1:$Q$1,0)+1)*$AI17</f>
        <v>0</v>
      </c>
      <c r="HG17" s="2" cm="1">
        <f t="array" ref="HG17">INDEX(增益!$A$2:$Q$40,HD17,MATCH(HG$8,增益!$B$1:$Q$1,0)+1)*$AI17</f>
        <v>0</v>
      </c>
      <c r="HH17" s="2" cm="1">
        <f t="array" ref="HH17">INDEX(增益!$A$2:$Q$40,HD17,MATCH(HH$8,增益!$B$1:$Q$1,0)+1)*$AI17</f>
        <v>0</v>
      </c>
      <c r="HI17" s="2" cm="1">
        <f t="array" ref="HI17">INDEX(增益!$A$2:$Q$40,HD17,MATCH(HI$8,增益!$B$1:$Q$1,0)+1)*$AI17</f>
        <v>0</v>
      </c>
      <c r="HJ17" s="2" cm="1">
        <f t="array" ref="HJ17">INDEX(增益!$A$2:$Q$40,HD17,MATCH(HJ$8,增益!$B$1:$Q$1,0)+1)*$AI17</f>
        <v>0</v>
      </c>
      <c r="HK17" s="2" cm="1">
        <f t="array" ref="HK17">INDEX(增益!$A$2:$Q$40,HD17,MATCH(HK$8,增益!$B$1:$Q$1,0)+1)*$AI17</f>
        <v>0</v>
      </c>
      <c r="HL17" s="2" cm="1">
        <f t="array" ref="HL17">INDEX(增益!$A$2:$Q$40,HD17,MATCH(HL$8,增益!$B$1:$Q$1,0)+1)*$AI17</f>
        <v>0</v>
      </c>
      <c r="HM17" s="2" cm="1">
        <f t="array" ref="HM17">INDEX(增益!$A$2:$Q$40,HD17,MATCH(HM$8,增益!$B$1:$Q$1,0)+1)*$AI17</f>
        <v>0</v>
      </c>
      <c r="HN17" s="2" cm="1">
        <f t="array" ref="HN17">INDEX(增益!$A$2:$Q$40,HD17,MATCH(HN$8,增益!$B$1:$Q$1,0)+1)*$AI17</f>
        <v>0</v>
      </c>
      <c r="HU17" s="2" cm="1">
        <f t="array" ref="HU17">INDEX(增益!$A$2:$Q$40,HD17,MATCH(HU$8,增益!$B$1:$Q$1,0)+1)*$AI17</f>
        <v>0</v>
      </c>
      <c r="HV17" s="2" cm="1">
        <f t="array" ref="HV17">INDEX(增益!$A$2:$Q$40,HD17,MATCH(HV$8,增益!$B$1:$Q$1,0)+1)*$AI17</f>
        <v>0</v>
      </c>
      <c r="HW17" s="2" cm="1">
        <f t="array" ref="HW17">INDEX(增益!$A$2:$Q$40,HD17,MATCH(HW$8,增益!$B$1:$Q$1,0)+1)*$AI17</f>
        <v>0</v>
      </c>
      <c r="HY17" s="2" cm="1">
        <f t="array" ref="HY17">INDEX(增益!$A$2:$Q$40,HD17,MATCH(HY$8,增益!$B$1:$Q$1,0)+1)*$AI17</f>
        <v>0</v>
      </c>
      <c r="IA17" s="2" cm="1">
        <f t="array" ref="IA17">INDEX(增益!$A$2:$Q$40,HD17,MATCH(IA$8,增益!$B$1:$Q$1,0)+1)*$AI17</f>
        <v>0</v>
      </c>
      <c r="IB17" s="2" cm="1">
        <f t="array" ref="IB17">INDEX(增益!$A$2:$Q$40,HD17,MATCH(IB$8,增益!$B$1:$Q$1,0)+1)*$AI17</f>
        <v>0</v>
      </c>
      <c r="IF17" s="2" cm="1">
        <f t="array" ref="IF17">INDEX(云配队!$J22:$AC22,1,IF$1)</f>
        <v>0</v>
      </c>
      <c r="IG17" s="2">
        <f>IFERROR(MATCH(IF17,增益!$A$2:$A$40,FALSE),1)</f>
        <v>1</v>
      </c>
      <c r="IH17" s="2" cm="1">
        <f t="array" ref="IH17">INDEX(增益!$A$2:$Q$40,IG17,MATCH(IH$8,增益!$B$1:$Q$1,0)+1)*$AI17</f>
        <v>0</v>
      </c>
      <c r="II17" s="2" cm="1">
        <f t="array" ref="II17">INDEX(增益!$A$2:$Q$40,IG17,MATCH(II$8,增益!$B$1:$Q$1,0)+1)*$AI17</f>
        <v>0</v>
      </c>
      <c r="IJ17" s="2" cm="1">
        <f t="array" ref="IJ17">INDEX(增益!$A$2:$Q$40,IG17,MATCH(IJ$8,增益!$B$1:$Q$1,0)+1)*$AI17</f>
        <v>0</v>
      </c>
      <c r="IK17" s="2" cm="1">
        <f t="array" ref="IK17">INDEX(增益!$A$2:$Q$40,IG17,MATCH(IK$8,增益!$B$1:$Q$1,0)+1)*$AI17</f>
        <v>0</v>
      </c>
      <c r="IL17" s="2" cm="1">
        <f t="array" ref="IL17">INDEX(增益!$A$2:$Q$40,IG17,MATCH(IL$8,增益!$B$1:$Q$1,0)+1)*$AI17</f>
        <v>0</v>
      </c>
      <c r="IM17" s="2" cm="1">
        <f t="array" ref="IM17">INDEX(增益!$A$2:$Q$40,IG17,MATCH(IM$8,增益!$B$1:$Q$1,0)+1)*$AI17</f>
        <v>0</v>
      </c>
      <c r="IN17" s="2" cm="1">
        <f t="array" ref="IN17">INDEX(增益!$A$2:$Q$40,IG17,MATCH(IN$8,增益!$B$1:$Q$1,0)+1)*$AI17</f>
        <v>0</v>
      </c>
      <c r="IO17" s="2" cm="1">
        <f t="array" ref="IO17">INDEX(增益!$A$2:$Q$40,IG17,MATCH(IO$8,增益!$B$1:$Q$1,0)+1)*$AI17</f>
        <v>0</v>
      </c>
      <c r="IP17" s="2" cm="1">
        <f t="array" ref="IP17">INDEX(增益!$A$2:$Q$40,IG17,MATCH(IP$8,增益!$B$1:$Q$1,0)+1)*$AI17</f>
        <v>0</v>
      </c>
      <c r="IQ17" s="2" cm="1">
        <f t="array" ref="IQ17">INDEX(增益!$A$2:$Q$40,IG17,MATCH(IQ$8,增益!$B$1:$Q$1,0)+1)*$AI17</f>
        <v>0</v>
      </c>
      <c r="IX17" s="2" cm="1">
        <f t="array" ref="IX17">INDEX(增益!$A$2:$Q$40,IG17,MATCH(IX$8,增益!$B$1:$Q$1,0)+1)*$AI17</f>
        <v>0</v>
      </c>
      <c r="IY17" s="2" cm="1">
        <f t="array" ref="IY17">INDEX(增益!$A$2:$Q$40,IG17,MATCH(IY$8,增益!$B$1:$Q$1,0)+1)*$AI17</f>
        <v>0</v>
      </c>
      <c r="IZ17" s="2" cm="1">
        <f t="array" ref="IZ17">INDEX(增益!$A$2:$Q$40,IG17,MATCH(IZ$8,增益!$B$1:$Q$1,0)+1)*$AI17</f>
        <v>0</v>
      </c>
      <c r="JB17" s="2" cm="1">
        <f t="array" ref="JB17">INDEX(增益!$A$2:$Q$40,IG17,MATCH(JB$8,增益!$B$1:$Q$1,0)+1)*$AI17</f>
        <v>0</v>
      </c>
      <c r="JD17" s="2" cm="1">
        <f t="array" ref="JD17">INDEX(增益!$A$2:$Q$40,IG17,MATCH(JD$8,增益!$B$1:$Q$1,0)+1)*$AI17</f>
        <v>0</v>
      </c>
      <c r="JE17" s="2" cm="1">
        <f t="array" ref="JE17">INDEX(增益!$A$2:$Q$40,IG17,MATCH(JE$8,增益!$B$1:$Q$1,0)+1)*$AI17</f>
        <v>0</v>
      </c>
      <c r="JI17" s="2" cm="1">
        <f t="array" ref="JI17">INDEX(云配队!$J22:$AC22,1,JI$1)</f>
        <v>0</v>
      </c>
      <c r="JJ17" s="2">
        <f>IFERROR(MATCH(JI17,增益!$A$2:$A$40,FALSE),1)</f>
        <v>1</v>
      </c>
      <c r="JK17" s="2" cm="1">
        <f t="array" ref="JK17">INDEX(增益!$A$2:$Q$40,JJ17,MATCH(JK$8,增益!$B$1:$Q$1,0)+1)*$AI17</f>
        <v>0</v>
      </c>
      <c r="JL17" s="2" cm="1">
        <f t="array" ref="JL17">INDEX(增益!$A$2:$Q$40,JJ17,MATCH(JL$8,增益!$B$1:$Q$1,0)+1)*$AI17</f>
        <v>0</v>
      </c>
      <c r="JM17" s="2" cm="1">
        <f t="array" ref="JM17">INDEX(增益!$A$2:$Q$40,JJ17,MATCH(JM$8,增益!$B$1:$Q$1,0)+1)*$AI17</f>
        <v>0</v>
      </c>
      <c r="JN17" s="2" cm="1">
        <f t="array" ref="JN17">INDEX(增益!$A$2:$Q$40,JJ17,MATCH(JN$8,增益!$B$1:$Q$1,0)+1)*$AI17</f>
        <v>0</v>
      </c>
      <c r="JO17" s="2" cm="1">
        <f t="array" ref="JO17">INDEX(增益!$A$2:$Q$40,JJ17,MATCH(JO$8,增益!$B$1:$Q$1,0)+1)*$AI17</f>
        <v>0</v>
      </c>
      <c r="JP17" s="2" cm="1">
        <f t="array" ref="JP17">INDEX(增益!$A$2:$Q$40,JJ17,MATCH(JP$8,增益!$B$1:$Q$1,0)+1)*$AI17</f>
        <v>0</v>
      </c>
      <c r="JQ17" s="2" cm="1">
        <f t="array" ref="JQ17">INDEX(增益!$A$2:$Q$40,JJ17,MATCH(JQ$8,增益!$B$1:$Q$1,0)+1)*$AI17</f>
        <v>0</v>
      </c>
      <c r="JR17" s="2" cm="1">
        <f t="array" ref="JR17">INDEX(增益!$A$2:$Q$40,JJ17,MATCH(JR$8,增益!$B$1:$Q$1,0)+1)*$AI17</f>
        <v>0</v>
      </c>
      <c r="JS17" s="2" cm="1">
        <f t="array" ref="JS17">INDEX(增益!$A$2:$Q$40,JJ17,MATCH(JS$8,增益!$B$1:$Q$1,0)+1)*$AI17</f>
        <v>0</v>
      </c>
      <c r="JT17" s="2" cm="1">
        <f t="array" ref="JT17">INDEX(增益!$A$2:$Q$40,JJ17,MATCH(JT$8,增益!$B$1:$Q$1,0)+1)*$AI17</f>
        <v>0</v>
      </c>
      <c r="KA17" s="2" cm="1">
        <f t="array" ref="KA17">INDEX(增益!$A$2:$Q$40,JJ17,MATCH(KA$8,增益!$B$1:$Q$1,0)+1)*$AI17</f>
        <v>0</v>
      </c>
      <c r="KB17" s="2" cm="1">
        <f t="array" ref="KB17">INDEX(增益!$A$2:$Q$40,JJ17,MATCH(KB$8,增益!$B$1:$Q$1,0)+1)*$AI17</f>
        <v>0</v>
      </c>
      <c r="KC17" s="2" cm="1">
        <f t="array" ref="KC17">INDEX(增益!$A$2:$Q$40,JJ17,MATCH(KC$8,增益!$B$1:$Q$1,0)+1)*$AI17</f>
        <v>0</v>
      </c>
      <c r="KE17" s="2" cm="1">
        <f t="array" ref="KE17">INDEX(增益!$A$2:$Q$40,JJ17,MATCH(KE$8,增益!$B$1:$Q$1,0)+1)*$AI17</f>
        <v>0</v>
      </c>
      <c r="KG17" s="2" cm="1">
        <f t="array" ref="KG17">INDEX(增益!$A$2:$Q$40,JJ17,MATCH(KG$8,增益!$B$1:$Q$1,0)+1)*$AI17</f>
        <v>0</v>
      </c>
      <c r="KH17" s="2" cm="1">
        <f t="array" ref="KH17">INDEX(增益!$A$2:$Q$40,JJ17,MATCH(KH$8,增益!$B$1:$Q$1,0)+1)*$AI17</f>
        <v>0</v>
      </c>
      <c r="KL17" s="2" cm="1">
        <f t="array" ref="KL17">INDEX(云配队!$J22:$AC22,1,KL$1)</f>
        <v>0</v>
      </c>
      <c r="KM17" s="2">
        <f>IFERROR(MATCH(KL17,增益!$A$2:$A$40,FALSE),1)</f>
        <v>1</v>
      </c>
      <c r="KN17" s="2" cm="1">
        <f t="array" ref="KN17">INDEX(增益!$A$2:$Q$40,KM17,MATCH(KN$8,增益!$B$1:$Q$1,0)+1)*$AI17</f>
        <v>0</v>
      </c>
      <c r="KO17" s="2" cm="1">
        <f t="array" ref="KO17">INDEX(增益!$A$2:$Q$40,KM17,MATCH(KO$8,增益!$B$1:$Q$1,0)+1)*$AI17</f>
        <v>0</v>
      </c>
      <c r="KP17" s="2" cm="1">
        <f t="array" ref="KP17">INDEX(增益!$A$2:$Q$40,KM17,MATCH(KP$8,增益!$B$1:$Q$1,0)+1)*$AI17</f>
        <v>0</v>
      </c>
      <c r="KQ17" s="2" cm="1">
        <f t="array" ref="KQ17">INDEX(增益!$A$2:$Q$40,KM17,MATCH(KQ$8,增益!$B$1:$Q$1,0)+1)*$AI17</f>
        <v>0</v>
      </c>
      <c r="KR17" s="2" cm="1">
        <f t="array" ref="KR17">INDEX(增益!$A$2:$Q$40,KM17,MATCH(KR$8,增益!$B$1:$Q$1,0)+1)*$AI17</f>
        <v>0</v>
      </c>
      <c r="KS17" s="2" cm="1">
        <f t="array" ref="KS17">INDEX(增益!$A$2:$Q$40,KM17,MATCH(KS$8,增益!$B$1:$Q$1,0)+1)*$AI17</f>
        <v>0</v>
      </c>
      <c r="KT17" s="2" cm="1">
        <f t="array" ref="KT17">INDEX(增益!$A$2:$Q$40,KM17,MATCH(KT$8,增益!$B$1:$Q$1,0)+1)*$AI17</f>
        <v>0</v>
      </c>
      <c r="KU17" s="2" cm="1">
        <f t="array" ref="KU17">INDEX(增益!$A$2:$Q$40,KM17,MATCH(KU$8,增益!$B$1:$Q$1,0)+1)*$AI17</f>
        <v>0</v>
      </c>
      <c r="KV17" s="2" cm="1">
        <f t="array" ref="KV17">INDEX(增益!$A$2:$Q$40,KM17,MATCH(KV$8,增益!$B$1:$Q$1,0)+1)*$AI17</f>
        <v>0</v>
      </c>
      <c r="KW17" s="2" cm="1">
        <f t="array" ref="KW17">INDEX(增益!$A$2:$Q$40,KM17,MATCH(KW$8,增益!$B$1:$Q$1,0)+1)*$AI17</f>
        <v>0</v>
      </c>
      <c r="LD17" s="2" cm="1">
        <f t="array" ref="LD17">INDEX(增益!$A$2:$Q$40,KM17,MATCH(LD$8,增益!$B$1:$Q$1,0)+1)*$AI17</f>
        <v>0</v>
      </c>
      <c r="LE17" s="2" cm="1">
        <f t="array" ref="LE17">INDEX(增益!$A$2:$Q$40,KM17,MATCH(LE$8,增益!$B$1:$Q$1,0)+1)*$AI17</f>
        <v>0</v>
      </c>
      <c r="LF17" s="2" cm="1">
        <f t="array" ref="LF17">INDEX(增益!$A$2:$Q$40,KM17,MATCH(LF$8,增益!$B$1:$Q$1,0)+1)*$AI17</f>
        <v>0</v>
      </c>
      <c r="LH17" s="2" cm="1">
        <f t="array" ref="LH17">INDEX(增益!$A$2:$Q$40,KM17,MATCH(LH$8,增益!$B$1:$Q$1,0)+1)*$AI17</f>
        <v>0</v>
      </c>
      <c r="LJ17" s="2" cm="1">
        <f t="array" ref="LJ17">INDEX(增益!$A$2:$Q$40,KM17,MATCH(LJ$8,增益!$B$1:$Q$1,0)+1)*$AI17</f>
        <v>0</v>
      </c>
      <c r="LK17" s="2" cm="1">
        <f t="array" ref="LK17">INDEX(增益!$A$2:$Q$40,KM17,MATCH(LK$8,增益!$B$1:$Q$1,0)+1)*$AI17</f>
        <v>0</v>
      </c>
      <c r="LO17" s="2" cm="1">
        <f t="array" ref="LO17">INDEX(云配队!$J22:$AC22,1,LO$1)</f>
        <v>0</v>
      </c>
      <c r="LP17" s="2">
        <f>IFERROR(MATCH(LO17,增益!$A$2:$A$40,FALSE),1)</f>
        <v>1</v>
      </c>
      <c r="LQ17" s="2" cm="1">
        <f t="array" ref="LQ17">INDEX(增益!$A$2:$Q$40,LP17,MATCH(LQ$8,增益!$B$1:$Q$1,0)+1)*$AI17</f>
        <v>0</v>
      </c>
      <c r="LR17" s="2" cm="1">
        <f t="array" ref="LR17">INDEX(增益!$A$2:$Q$40,LP17,MATCH(LR$8,增益!$B$1:$Q$1,0)+1)*$AI17</f>
        <v>0</v>
      </c>
      <c r="LS17" s="2" cm="1">
        <f t="array" ref="LS17">INDEX(增益!$A$2:$Q$40,LP17,MATCH(LS$8,增益!$B$1:$Q$1,0)+1)*$AI17</f>
        <v>0</v>
      </c>
      <c r="LT17" s="2" cm="1">
        <f t="array" ref="LT17">INDEX(增益!$A$2:$Q$40,LP17,MATCH(LT$8,增益!$B$1:$Q$1,0)+1)*$AI17</f>
        <v>0</v>
      </c>
      <c r="LU17" s="2" cm="1">
        <f t="array" ref="LU17">INDEX(增益!$A$2:$Q$40,LP17,MATCH(LU$8,增益!$B$1:$Q$1,0)+1)*$AI17</f>
        <v>0</v>
      </c>
      <c r="LV17" s="2" cm="1">
        <f t="array" ref="LV17">INDEX(增益!$A$2:$Q$40,LP17,MATCH(LV$8,增益!$B$1:$Q$1,0)+1)*$AI17</f>
        <v>0</v>
      </c>
      <c r="LW17" s="2" cm="1">
        <f t="array" ref="LW17">INDEX(增益!$A$2:$Q$40,LP17,MATCH(LW$8,增益!$B$1:$Q$1,0)+1)*$AI17</f>
        <v>0</v>
      </c>
      <c r="LX17" s="2" cm="1">
        <f t="array" ref="LX17">INDEX(增益!$A$2:$Q$40,LP17,MATCH(LX$8,增益!$B$1:$Q$1,0)+1)*$AI17</f>
        <v>0</v>
      </c>
      <c r="LY17" s="2" cm="1">
        <f t="array" ref="LY17">INDEX(增益!$A$2:$Q$40,LP17,MATCH(LY$8,增益!$B$1:$Q$1,0)+1)*$AI17</f>
        <v>0</v>
      </c>
      <c r="LZ17" s="2" cm="1">
        <f t="array" ref="LZ17">INDEX(增益!$A$2:$Q$40,LP17,MATCH(LZ$8,增益!$B$1:$Q$1,0)+1)*$AI17</f>
        <v>0</v>
      </c>
      <c r="MG17" s="2" cm="1">
        <f t="array" ref="MG17">INDEX(增益!$A$2:$Q$40,LP17,MATCH(MG$8,增益!$B$1:$Q$1,0)+1)*$AI17</f>
        <v>0</v>
      </c>
      <c r="MH17" s="2" cm="1">
        <f t="array" ref="MH17">INDEX(增益!$A$2:$Q$40,LP17,MATCH(MH$8,增益!$B$1:$Q$1,0)+1)*$AI17</f>
        <v>0</v>
      </c>
      <c r="MI17" s="2" cm="1">
        <f t="array" ref="MI17">INDEX(增益!$A$2:$Q$40,LP17,MATCH(MI$8,增益!$B$1:$Q$1,0)+1)*$AI17</f>
        <v>0</v>
      </c>
      <c r="MK17" s="2" cm="1">
        <f t="array" ref="MK17">INDEX(增益!$A$2:$Q$40,LP17,MATCH(MK$8,增益!$B$1:$Q$1,0)+1)*$AI17</f>
        <v>0</v>
      </c>
      <c r="MM17" s="2" cm="1">
        <f t="array" ref="MM17">INDEX(增益!$A$2:$Q$40,LP17,MATCH(MM$8,增益!$B$1:$Q$1,0)+1)*$AI17</f>
        <v>0</v>
      </c>
      <c r="MN17" s="2" cm="1">
        <f t="array" ref="MN17">INDEX(增益!$A$2:$Q$40,LP17,MATCH(MN$8,增益!$B$1:$Q$1,0)+1)*$AI17</f>
        <v>0</v>
      </c>
      <c r="MR17" s="2" cm="1">
        <f t="array" ref="MR17">INDEX(云配队!$J22:$AC22,1,MR$1)</f>
        <v>0</v>
      </c>
      <c r="MS17" s="2">
        <f>IFERROR(MATCH(MR17,增益!$A$2:$A$40,FALSE),1)</f>
        <v>1</v>
      </c>
      <c r="MT17" s="2" cm="1">
        <f t="array" ref="MT17">INDEX(增益!$A$2:$Q$40,MS17,MATCH(MT$8,增益!$B$1:$Q$1,0)+1)*$AI17</f>
        <v>0</v>
      </c>
      <c r="MU17" s="2" cm="1">
        <f t="array" ref="MU17">INDEX(增益!$A$2:$Q$40,MS17,MATCH(MU$8,增益!$B$1:$Q$1,0)+1)*$AI17</f>
        <v>0</v>
      </c>
      <c r="MV17" s="2" cm="1">
        <f t="array" ref="MV17">INDEX(增益!$A$2:$Q$40,MS17,MATCH(MV$8,增益!$B$1:$Q$1,0)+1)*$AI17</f>
        <v>0</v>
      </c>
      <c r="MW17" s="2" cm="1">
        <f t="array" ref="MW17">INDEX(增益!$A$2:$Q$40,MS17,MATCH(MW$8,增益!$B$1:$Q$1,0)+1)*$AI17</f>
        <v>0</v>
      </c>
      <c r="MX17" s="2" cm="1">
        <f t="array" ref="MX17">INDEX(增益!$A$2:$Q$40,MS17,MATCH(MX$8,增益!$B$1:$Q$1,0)+1)*$AI17</f>
        <v>0</v>
      </c>
      <c r="MY17" s="2" cm="1">
        <f t="array" ref="MY17">INDEX(增益!$A$2:$Q$40,MS17,MATCH(MY$8,增益!$B$1:$Q$1,0)+1)*$AI17</f>
        <v>0</v>
      </c>
      <c r="MZ17" s="2" cm="1">
        <f t="array" ref="MZ17">INDEX(增益!$A$2:$Q$40,MS17,MATCH(MZ$8,增益!$B$1:$Q$1,0)+1)*$AI17</f>
        <v>0</v>
      </c>
      <c r="NA17" s="2" cm="1">
        <f t="array" ref="NA17">INDEX(增益!$A$2:$Q$40,MS17,MATCH(NA$8,增益!$B$1:$Q$1,0)+1)*$AI17</f>
        <v>0</v>
      </c>
      <c r="NB17" s="2" cm="1">
        <f t="array" ref="NB17">INDEX(增益!$A$2:$Q$40,MS17,MATCH(NB$8,增益!$B$1:$Q$1,0)+1)*$AI17</f>
        <v>0</v>
      </c>
      <c r="NC17" s="2" cm="1">
        <f t="array" ref="NC17">INDEX(增益!$A$2:$Q$40,MS17,MATCH(NC$8,增益!$B$1:$Q$1,0)+1)*$AI17</f>
        <v>0</v>
      </c>
      <c r="NJ17" s="2" cm="1">
        <f t="array" ref="NJ17">INDEX(增益!$A$2:$Q$40,MS17,MATCH(NJ$8,增益!$B$1:$Q$1,0)+1)*$AI17</f>
        <v>0</v>
      </c>
      <c r="NK17" s="2" cm="1">
        <f t="array" ref="NK17">INDEX(增益!$A$2:$Q$40,MS17,MATCH(NK$8,增益!$B$1:$Q$1,0)+1)*$AI17</f>
        <v>0</v>
      </c>
      <c r="NL17" s="2" cm="1">
        <f t="array" ref="NL17">INDEX(增益!$A$2:$Q$40,MS17,MATCH(NL$8,增益!$B$1:$Q$1,0)+1)*$AI17</f>
        <v>0</v>
      </c>
      <c r="NN17" s="2" cm="1">
        <f t="array" ref="NN17">INDEX(增益!$A$2:$Q$40,MS17,MATCH(NN$8,增益!$B$1:$Q$1,0)+1)*$AI17</f>
        <v>0</v>
      </c>
      <c r="NP17" s="2" cm="1">
        <f t="array" ref="NP17">INDEX(增益!$A$2:$Q$40,MS17,MATCH(NP$8,增益!$B$1:$Q$1,0)+1)*$AI17</f>
        <v>0</v>
      </c>
      <c r="NQ17" s="2" cm="1">
        <f t="array" ref="NQ17">INDEX(增益!$A$2:$Q$40,MS17,MATCH(NQ$8,增益!$B$1:$Q$1,0)+1)*$AI17</f>
        <v>0</v>
      </c>
      <c r="NU17" s="2" cm="1">
        <f t="array" ref="NU17">INDEX(云配队!$J22:$AC22,1,NU$1)</f>
        <v>0</v>
      </c>
      <c r="NV17" s="2">
        <f>IFERROR(MATCH(NU17,增益!$A$2:$A$40,FALSE),1)</f>
        <v>1</v>
      </c>
      <c r="NW17" s="2" cm="1">
        <f t="array" ref="NW17">INDEX(增益!$A$2:$Q$40,NV17,MATCH(NW$8,增益!$B$1:$Q$1,0)+1)*$AI17</f>
        <v>0</v>
      </c>
      <c r="NX17" s="2" cm="1">
        <f t="array" ref="NX17">INDEX(增益!$A$2:$Q$40,NV17,MATCH(NX$8,增益!$B$1:$Q$1,0)+1)*$AI17</f>
        <v>0</v>
      </c>
      <c r="NY17" s="2" cm="1">
        <f t="array" ref="NY17">INDEX(增益!$A$2:$Q$40,NV17,MATCH(NY$8,增益!$B$1:$Q$1,0)+1)*$AI17</f>
        <v>0</v>
      </c>
      <c r="NZ17" s="2" cm="1">
        <f t="array" ref="NZ17">INDEX(增益!$A$2:$Q$40,NV17,MATCH(NZ$8,增益!$B$1:$Q$1,0)+1)*$AI17</f>
        <v>0</v>
      </c>
      <c r="OA17" s="2" cm="1">
        <f t="array" ref="OA17">INDEX(增益!$A$2:$Q$40,NV17,MATCH(OA$8,增益!$B$1:$Q$1,0)+1)*$AI17</f>
        <v>0</v>
      </c>
      <c r="OB17" s="2" cm="1">
        <f t="array" ref="OB17">INDEX(增益!$A$2:$Q$40,NV17,MATCH(OB$8,增益!$B$1:$Q$1,0)+1)*$AI17</f>
        <v>0</v>
      </c>
      <c r="OC17" s="2" cm="1">
        <f t="array" ref="OC17">INDEX(增益!$A$2:$Q$40,NV17,MATCH(OC$8,增益!$B$1:$Q$1,0)+1)*$AI17</f>
        <v>0</v>
      </c>
      <c r="OD17" s="2" cm="1">
        <f t="array" ref="OD17">INDEX(增益!$A$2:$Q$40,NV17,MATCH(OD$8,增益!$B$1:$Q$1,0)+1)*$AI17</f>
        <v>0</v>
      </c>
      <c r="OE17" s="2" cm="1">
        <f t="array" ref="OE17">INDEX(增益!$A$2:$Q$40,NV17,MATCH(OE$8,增益!$B$1:$Q$1,0)+1)*$AI17</f>
        <v>0</v>
      </c>
      <c r="OF17" s="2" cm="1">
        <f t="array" ref="OF17">INDEX(增益!$A$2:$Q$40,NV17,MATCH(OF$8,增益!$B$1:$Q$1,0)+1)*$AI17</f>
        <v>0</v>
      </c>
      <c r="OM17" s="2" cm="1">
        <f t="array" ref="OM17">INDEX(增益!$A$2:$Q$40,NV17,MATCH(OM$8,增益!$B$1:$Q$1,0)+1)*$AI17</f>
        <v>0</v>
      </c>
      <c r="ON17" s="2" cm="1">
        <f t="array" ref="ON17">INDEX(增益!$A$2:$Q$40,NV17,MATCH(ON$8,增益!$B$1:$Q$1,0)+1)*$AI17</f>
        <v>0</v>
      </c>
      <c r="OO17" s="2" cm="1">
        <f t="array" ref="OO17">INDEX(增益!$A$2:$Q$40,NV17,MATCH(OO$8,增益!$B$1:$Q$1,0)+1)*$AI17</f>
        <v>0</v>
      </c>
      <c r="OQ17" s="2" cm="1">
        <f t="array" ref="OQ17">INDEX(增益!$A$2:$Q$40,NV17,MATCH(OQ$8,增益!$B$1:$Q$1,0)+1)*$AI17</f>
        <v>0</v>
      </c>
      <c r="OS17" s="2" cm="1">
        <f t="array" ref="OS17">INDEX(增益!$A$2:$Q$40,NV17,MATCH(OS$8,增益!$B$1:$Q$1,0)+1)*$AI17</f>
        <v>0</v>
      </c>
      <c r="OT17" s="2" cm="1">
        <f t="array" ref="OT17">INDEX(增益!$A$2:$Q$40,NV17,MATCH(OT$8,增益!$B$1:$Q$1,0)+1)*$AI17</f>
        <v>0</v>
      </c>
      <c r="OX17" s="2" cm="1">
        <f t="array" ref="OX17">INDEX(云配队!$J22:$AC22,1,OX$1)</f>
        <v>0</v>
      </c>
      <c r="OY17" s="2">
        <f>IFERROR(MATCH(OX17,增益!$A$2:$A$40,FALSE),1)</f>
        <v>1</v>
      </c>
      <c r="OZ17" s="2" cm="1">
        <f t="array" ref="OZ17">INDEX(增益!$A$2:$Q$40,OY17,MATCH(OZ$8,增益!$B$1:$Q$1,0)+1)*$AI17</f>
        <v>0</v>
      </c>
      <c r="PA17" s="2" cm="1">
        <f t="array" ref="PA17">INDEX(增益!$A$2:$Q$40,OY17,MATCH(PA$8,增益!$B$1:$Q$1,0)+1)*$AI17</f>
        <v>0</v>
      </c>
      <c r="PB17" s="2" cm="1">
        <f t="array" ref="PB17">INDEX(增益!$A$2:$Q$40,OY17,MATCH(PB$8,增益!$B$1:$Q$1,0)+1)*$AI17</f>
        <v>0</v>
      </c>
      <c r="PC17" s="2" cm="1">
        <f t="array" ref="PC17">INDEX(增益!$A$2:$Q$40,OY17,MATCH(PC$8,增益!$B$1:$Q$1,0)+1)*$AI17</f>
        <v>0</v>
      </c>
      <c r="PD17" s="2" cm="1">
        <f t="array" ref="PD17">INDEX(增益!$A$2:$Q$40,OY17,MATCH(PD$8,增益!$B$1:$Q$1,0)+1)*$AI17</f>
        <v>0</v>
      </c>
      <c r="PE17" s="2" cm="1">
        <f t="array" ref="PE17">INDEX(增益!$A$2:$Q$40,OY17,MATCH(PE$8,增益!$B$1:$Q$1,0)+1)*$AI17</f>
        <v>0</v>
      </c>
      <c r="PF17" s="2" cm="1">
        <f t="array" ref="PF17">INDEX(增益!$A$2:$Q$40,OY17,MATCH(PF$8,增益!$B$1:$Q$1,0)+1)*$AI17</f>
        <v>0</v>
      </c>
      <c r="PG17" s="2" cm="1">
        <f t="array" ref="PG17">INDEX(增益!$A$2:$Q$40,OY17,MATCH(PG$8,增益!$B$1:$Q$1,0)+1)*$AI17</f>
        <v>0</v>
      </c>
      <c r="PH17" s="2" cm="1">
        <f t="array" ref="PH17">INDEX(增益!$A$2:$Q$40,OY17,MATCH(PH$8,增益!$B$1:$Q$1,0)+1)*$AI17</f>
        <v>0</v>
      </c>
      <c r="PI17" s="2" cm="1">
        <f t="array" ref="PI17">INDEX(增益!$A$2:$Q$40,OY17,MATCH(PI$8,增益!$B$1:$Q$1,0)+1)*$AI17</f>
        <v>0</v>
      </c>
      <c r="PP17" s="2" cm="1">
        <f t="array" ref="PP17">INDEX(增益!$A$2:$Q$40,OY17,MATCH(PP$8,增益!$B$1:$Q$1,0)+1)*$AI17</f>
        <v>0</v>
      </c>
      <c r="PQ17" s="2" cm="1">
        <f t="array" ref="PQ17">INDEX(增益!$A$2:$Q$40,OY17,MATCH(PQ$8,增益!$B$1:$Q$1,0)+1)*$AI17</f>
        <v>0</v>
      </c>
      <c r="PR17" s="2" cm="1">
        <f t="array" ref="PR17">INDEX(增益!$A$2:$Q$40,OY17,MATCH(PR$8,增益!$B$1:$Q$1,0)+1)*$AI17</f>
        <v>0</v>
      </c>
      <c r="PT17" s="2" cm="1">
        <f t="array" ref="PT17">INDEX(增益!$A$2:$Q$40,OY17,MATCH(PT$8,增益!$B$1:$Q$1,0)+1)*$AI17</f>
        <v>0</v>
      </c>
      <c r="PV17" s="2" cm="1">
        <f t="array" ref="PV17">INDEX(增益!$A$2:$Q$40,OY17,MATCH(PV$8,增益!$B$1:$Q$1,0)+1)*$AI17</f>
        <v>0</v>
      </c>
      <c r="PW17" s="2" cm="1">
        <f t="array" ref="PW17">INDEX(增益!$A$2:$Q$40,OY17,MATCH(PW$8,增益!$B$1:$Q$1,0)+1)*$AI17</f>
        <v>0</v>
      </c>
      <c r="QA17" s="2" cm="1">
        <f t="array" ref="QA17">INDEX(云配队!$J22:$AC22,1,QA$1)</f>
        <v>0</v>
      </c>
      <c r="QB17" s="2">
        <f>IFERROR(MATCH(QA17,增益!$A$2:$A$40,FALSE),1)</f>
        <v>1</v>
      </c>
      <c r="QC17" s="2" cm="1">
        <f t="array" ref="QC17">INDEX(增益!$A$2:$Q$40,QB17,MATCH(QC$8,增益!$B$1:$Q$1,0)+1)*$AI17</f>
        <v>0</v>
      </c>
      <c r="QD17" s="2" cm="1">
        <f t="array" ref="QD17">INDEX(增益!$A$2:$Q$40,QB17,MATCH(QD$8,增益!$B$1:$Q$1,0)+1)*$AI17</f>
        <v>0</v>
      </c>
      <c r="QE17" s="2" cm="1">
        <f t="array" ref="QE17">INDEX(增益!$A$2:$Q$40,QB17,MATCH(QE$8,增益!$B$1:$Q$1,0)+1)*$AI17</f>
        <v>0</v>
      </c>
      <c r="QF17" s="2" cm="1">
        <f t="array" ref="QF17">INDEX(增益!$A$2:$Q$40,QB17,MATCH(QF$8,增益!$B$1:$Q$1,0)+1)*$AI17</f>
        <v>0</v>
      </c>
      <c r="QG17" s="2" cm="1">
        <f t="array" ref="QG17">INDEX(增益!$A$2:$Q$40,QB17,MATCH(QG$8,增益!$B$1:$Q$1,0)+1)*$AI17</f>
        <v>0</v>
      </c>
      <c r="QH17" s="2" cm="1">
        <f t="array" ref="QH17">INDEX(增益!$A$2:$Q$40,QB17,MATCH(QH$8,增益!$B$1:$Q$1,0)+1)*$AI17</f>
        <v>0</v>
      </c>
      <c r="QI17" s="2" cm="1">
        <f t="array" ref="QI17">INDEX(增益!$A$2:$Q$40,QB17,MATCH(QI$8,增益!$B$1:$Q$1,0)+1)*$AI17</f>
        <v>0</v>
      </c>
      <c r="QJ17" s="2" cm="1">
        <f t="array" ref="QJ17">INDEX(增益!$A$2:$Q$40,QB17,MATCH(QJ$8,增益!$B$1:$Q$1,0)+1)*$AI17</f>
        <v>0</v>
      </c>
      <c r="QK17" s="2" cm="1">
        <f t="array" ref="QK17">INDEX(增益!$A$2:$Q$40,QB17,MATCH(QK$8,增益!$B$1:$Q$1,0)+1)*$AI17</f>
        <v>0</v>
      </c>
      <c r="QL17" s="2" cm="1">
        <f t="array" ref="QL17">INDEX(增益!$A$2:$Q$40,QB17,MATCH(QL$8,增益!$B$1:$Q$1,0)+1)*$AI17</f>
        <v>0</v>
      </c>
      <c r="QS17" s="2" cm="1">
        <f t="array" ref="QS17">INDEX(增益!$A$2:$Q$40,QB17,MATCH(QS$8,增益!$B$1:$Q$1,0)+1)*$AI17</f>
        <v>0</v>
      </c>
      <c r="QT17" s="2" cm="1">
        <f t="array" ref="QT17">INDEX(增益!$A$2:$Q$40,QB17,MATCH(QT$8,增益!$B$1:$Q$1,0)+1)*$AI17</f>
        <v>0</v>
      </c>
      <c r="QU17" s="2" cm="1">
        <f t="array" ref="QU17">INDEX(增益!$A$2:$Q$40,QB17,MATCH(QU$8,增益!$B$1:$Q$1,0)+1)*$AI17</f>
        <v>0</v>
      </c>
      <c r="QW17" s="2" cm="1">
        <f t="array" ref="QW17">INDEX(增益!$A$2:$Q$40,QB17,MATCH(QW$8,增益!$B$1:$Q$1,0)+1)*$AI17</f>
        <v>0</v>
      </c>
      <c r="QY17" s="2" cm="1">
        <f t="array" ref="QY17">INDEX(增益!$A$2:$Q$40,QB17,MATCH(QY$8,增益!$B$1:$Q$1,0)+1)*$AI17</f>
        <v>0</v>
      </c>
      <c r="QZ17" s="2" cm="1">
        <f t="array" ref="QZ17">INDEX(增益!$A$2:$Q$40,QB17,MATCH(QZ$8,增益!$B$1:$Q$1,0)+1)*$AI17</f>
        <v>0</v>
      </c>
      <c r="RD17" s="2" cm="1">
        <f t="array" ref="RD17">INDEX(云配队!$J22:$AC22,1,RD$1)</f>
        <v>0</v>
      </c>
      <c r="RE17" s="2">
        <f>IFERROR(MATCH(RD17,增益!$A$2:$A$40,FALSE),1)</f>
        <v>1</v>
      </c>
      <c r="RF17" s="2" cm="1">
        <f t="array" ref="RF17">INDEX(增益!$A$2:$Q$40,RE17,MATCH(RF$8,增益!$B$1:$Q$1,0)+1)*$AI17</f>
        <v>0</v>
      </c>
      <c r="RG17" s="2" cm="1">
        <f t="array" ref="RG17">INDEX(增益!$A$2:$Q$40,RE17,MATCH(RG$8,增益!$B$1:$Q$1,0)+1)*$AI17</f>
        <v>0</v>
      </c>
      <c r="RH17" s="2" cm="1">
        <f t="array" ref="RH17">INDEX(增益!$A$2:$Q$40,RE17,MATCH(RH$8,增益!$B$1:$Q$1,0)+1)*$AI17</f>
        <v>0</v>
      </c>
      <c r="RI17" s="2" cm="1">
        <f t="array" ref="RI17">INDEX(增益!$A$2:$Q$40,RE17,MATCH(RI$8,增益!$B$1:$Q$1,0)+1)*$AI17</f>
        <v>0</v>
      </c>
      <c r="RJ17" s="2" cm="1">
        <f t="array" ref="RJ17">INDEX(增益!$A$2:$Q$40,RE17,MATCH(RJ$8,增益!$B$1:$Q$1,0)+1)*$AI17</f>
        <v>0</v>
      </c>
      <c r="RK17" s="2" cm="1">
        <f t="array" ref="RK17">INDEX(增益!$A$2:$Q$40,RE17,MATCH(RK$8,增益!$B$1:$Q$1,0)+1)*$AI17</f>
        <v>0</v>
      </c>
      <c r="RL17" s="2" cm="1">
        <f t="array" ref="RL17">INDEX(增益!$A$2:$Q$40,RE17,MATCH(RL$8,增益!$B$1:$Q$1,0)+1)*$AI17</f>
        <v>0</v>
      </c>
      <c r="RM17" s="2" cm="1">
        <f t="array" ref="RM17">INDEX(增益!$A$2:$Q$40,RE17,MATCH(RM$8,增益!$B$1:$Q$1,0)+1)*$AI17</f>
        <v>0</v>
      </c>
      <c r="RN17" s="2" cm="1">
        <f t="array" ref="RN17">INDEX(增益!$A$2:$Q$40,RE17,MATCH(RN$8,增益!$B$1:$Q$1,0)+1)*$AI17</f>
        <v>0</v>
      </c>
      <c r="RO17" s="2" cm="1">
        <f t="array" ref="RO17">INDEX(增益!$A$2:$Q$40,RE17,MATCH(RO$8,增益!$B$1:$Q$1,0)+1)*$AI17</f>
        <v>0</v>
      </c>
      <c r="RV17" s="2" cm="1">
        <f t="array" ref="RV17">INDEX(增益!$A$2:$Q$40,RE17,MATCH(RV$8,增益!$B$1:$Q$1,0)+1)*$AI17</f>
        <v>0</v>
      </c>
      <c r="RW17" s="2" cm="1">
        <f t="array" ref="RW17">INDEX(增益!$A$2:$Q$40,RE17,MATCH(RW$8,增益!$B$1:$Q$1,0)+1)*$AI17</f>
        <v>0</v>
      </c>
      <c r="RX17" s="2" cm="1">
        <f t="array" ref="RX17">INDEX(增益!$A$2:$Q$40,RE17,MATCH(RX$8,增益!$B$1:$Q$1,0)+1)*$AI17</f>
        <v>0</v>
      </c>
      <c r="RZ17" s="2" cm="1">
        <f t="array" ref="RZ17">INDEX(增益!$A$2:$Q$40,RE17,MATCH(RZ$8,增益!$B$1:$Q$1,0)+1)*$AI17</f>
        <v>0</v>
      </c>
      <c r="SB17" s="2" cm="1">
        <f t="array" ref="SB17">INDEX(增益!$A$2:$Q$40,RE17,MATCH(SB$8,增益!$B$1:$Q$1,0)+1)*$AI17</f>
        <v>0</v>
      </c>
      <c r="SC17" s="2" cm="1">
        <f t="array" ref="SC17">INDEX(增益!$A$2:$Q$40,RE17,MATCH(SC$8,增益!$B$1:$Q$1,0)+1)*$AI17</f>
        <v>0</v>
      </c>
      <c r="SG17" s="2" cm="1">
        <f t="array" ref="SG17">INDEX(云配队!$J22:$AC22,1,SG$1)</f>
        <v>0</v>
      </c>
      <c r="SH17" s="2">
        <f>IFERROR(MATCH(SG17,增益!$A$2:$A$40,FALSE),1)</f>
        <v>1</v>
      </c>
      <c r="SI17" s="2" cm="1">
        <f t="array" ref="SI17">INDEX(增益!$A$2:$Q$40,SH17,MATCH(SI$8,增益!$B$1:$Q$1,0)+1)*$AI17</f>
        <v>0</v>
      </c>
      <c r="SJ17" s="2" cm="1">
        <f t="array" ref="SJ17">INDEX(增益!$A$2:$Q$40,SH17,MATCH(SJ$8,增益!$B$1:$Q$1,0)+1)*$AI17</f>
        <v>0</v>
      </c>
      <c r="SK17" s="2" cm="1">
        <f t="array" ref="SK17">INDEX(增益!$A$2:$Q$40,SH17,MATCH(SK$8,增益!$B$1:$Q$1,0)+1)*$AI17</f>
        <v>0</v>
      </c>
      <c r="SL17" s="2" cm="1">
        <f t="array" ref="SL17">INDEX(增益!$A$2:$Q$40,SH17,MATCH(SL$8,增益!$B$1:$Q$1,0)+1)*$AI17</f>
        <v>0</v>
      </c>
      <c r="SM17" s="2" cm="1">
        <f t="array" ref="SM17">INDEX(增益!$A$2:$Q$40,SH17,MATCH(SM$8,增益!$B$1:$Q$1,0)+1)*$AI17</f>
        <v>0</v>
      </c>
      <c r="SN17" s="2" cm="1">
        <f t="array" ref="SN17">INDEX(增益!$A$2:$Q$40,SH17,MATCH(SN$8,增益!$B$1:$Q$1,0)+1)*$AI17</f>
        <v>0</v>
      </c>
      <c r="SO17" s="2" cm="1">
        <f t="array" ref="SO17">INDEX(增益!$A$2:$Q$40,SH17,MATCH(SO$8,增益!$B$1:$Q$1,0)+1)*$AI17</f>
        <v>0</v>
      </c>
      <c r="SP17" s="2" cm="1">
        <f t="array" ref="SP17">INDEX(增益!$A$2:$Q$40,SH17,MATCH(SP$8,增益!$B$1:$Q$1,0)+1)*$AI17</f>
        <v>0</v>
      </c>
      <c r="SQ17" s="2" cm="1">
        <f t="array" ref="SQ17">INDEX(增益!$A$2:$Q$40,SH17,MATCH(SQ$8,增益!$B$1:$Q$1,0)+1)*$AI17</f>
        <v>0</v>
      </c>
      <c r="SR17" s="2" cm="1">
        <f t="array" ref="SR17">INDEX(增益!$A$2:$Q$40,SH17,MATCH(SR$8,增益!$B$1:$Q$1,0)+1)*$AI17</f>
        <v>0</v>
      </c>
      <c r="SY17" s="2" cm="1">
        <f t="array" ref="SY17">INDEX(增益!$A$2:$Q$40,SH17,MATCH(SY$8,增益!$B$1:$Q$1,0)+1)*$AI17</f>
        <v>0</v>
      </c>
      <c r="SZ17" s="2" cm="1">
        <f t="array" ref="SZ17">INDEX(增益!$A$2:$Q$40,SH17,MATCH(SZ$8,增益!$B$1:$Q$1,0)+1)*$AI17</f>
        <v>0</v>
      </c>
      <c r="TA17" s="2" cm="1">
        <f t="array" ref="TA17">INDEX(增益!$A$2:$Q$40,SH17,MATCH(TA$8,增益!$B$1:$Q$1,0)+1)*$AI17</f>
        <v>0</v>
      </c>
      <c r="TC17" s="2" cm="1">
        <f t="array" ref="TC17">INDEX(增益!$A$2:$Q$40,SH17,MATCH(TC$8,增益!$B$1:$Q$1,0)+1)*$AI17</f>
        <v>0</v>
      </c>
      <c r="TE17" s="2" cm="1">
        <f t="array" ref="TE17">INDEX(增益!$A$2:$Q$40,SH17,MATCH(TE$8,增益!$B$1:$Q$1,0)+1)*$AI17</f>
        <v>0</v>
      </c>
      <c r="TF17" s="2" cm="1">
        <f t="array" ref="TF17">INDEX(增益!$A$2:$Q$40,SH17,MATCH(TF$8,增益!$B$1:$Q$1,0)+1)*$AI17</f>
        <v>0</v>
      </c>
      <c r="TJ17" s="2" cm="1">
        <f t="array" ref="TJ17">INDEX(云配队!$J22:$AC22,1,TJ$1)</f>
        <v>0</v>
      </c>
      <c r="TK17" s="2">
        <f>IFERROR(MATCH(TJ17,增益!$A$2:$A$40,FALSE),1)</f>
        <v>1</v>
      </c>
      <c r="TL17" s="2" cm="1">
        <f t="array" ref="TL17">INDEX(增益!$A$2:$Q$40,TK17,MATCH(TL$8,增益!$B$1:$Q$1,0)+1)*$AI17</f>
        <v>0</v>
      </c>
      <c r="TM17" s="2" cm="1">
        <f t="array" ref="TM17">INDEX(增益!$A$2:$Q$40,TK17,MATCH(TM$8,增益!$B$1:$Q$1,0)+1)*$AI17</f>
        <v>0</v>
      </c>
      <c r="TN17" s="2" cm="1">
        <f t="array" ref="TN17">INDEX(增益!$A$2:$Q$40,TK17,MATCH(TN$8,增益!$B$1:$Q$1,0)+1)*$AI17</f>
        <v>0</v>
      </c>
      <c r="TO17" s="2" cm="1">
        <f t="array" ref="TO17">INDEX(增益!$A$2:$Q$40,TK17,MATCH(TO$8,增益!$B$1:$Q$1,0)+1)*$AI17</f>
        <v>0</v>
      </c>
      <c r="TP17" s="2" cm="1">
        <f t="array" ref="TP17">INDEX(增益!$A$2:$Q$40,TK17,MATCH(TP$8,增益!$B$1:$Q$1,0)+1)*$AI17</f>
        <v>0</v>
      </c>
      <c r="TQ17" s="2" cm="1">
        <f t="array" ref="TQ17">INDEX(增益!$A$2:$Q$40,TK17,MATCH(TQ$8,增益!$B$1:$Q$1,0)+1)*$AI17</f>
        <v>0</v>
      </c>
      <c r="TR17" s="2" cm="1">
        <f t="array" ref="TR17">INDEX(增益!$A$2:$Q$40,TK17,MATCH(TR$8,增益!$B$1:$Q$1,0)+1)*$AI17</f>
        <v>0</v>
      </c>
      <c r="TS17" s="2" cm="1">
        <f t="array" ref="TS17">INDEX(增益!$A$2:$Q$40,TK17,MATCH(TS$8,增益!$B$1:$Q$1,0)+1)*$AI17</f>
        <v>0</v>
      </c>
      <c r="TT17" s="2" cm="1">
        <f t="array" ref="TT17">INDEX(增益!$A$2:$Q$40,TK17,MATCH(TT$8,增益!$B$1:$Q$1,0)+1)*$AI17</f>
        <v>0</v>
      </c>
      <c r="TU17" s="2" cm="1">
        <f t="array" ref="TU17">INDEX(增益!$A$2:$Q$40,TK17,MATCH(TU$8,增益!$B$1:$Q$1,0)+1)*$AI17</f>
        <v>0</v>
      </c>
      <c r="UB17" s="2" cm="1">
        <f t="array" ref="UB17">INDEX(增益!$A$2:$Q$40,TK17,MATCH(UB$8,增益!$B$1:$Q$1,0)+1)*$AI17</f>
        <v>0</v>
      </c>
      <c r="UC17" s="2" cm="1">
        <f t="array" ref="UC17">INDEX(增益!$A$2:$Q$40,TK17,MATCH(UC$8,增益!$B$1:$Q$1,0)+1)*$AI17</f>
        <v>0</v>
      </c>
      <c r="UD17" s="2" cm="1">
        <f t="array" ref="UD17">INDEX(增益!$A$2:$Q$40,TK17,MATCH(UD$8,增益!$B$1:$Q$1,0)+1)*$AI17</f>
        <v>0</v>
      </c>
      <c r="UF17" s="2" cm="1">
        <f t="array" ref="UF17">INDEX(增益!$A$2:$Q$40,TK17,MATCH(UF$8,增益!$B$1:$Q$1,0)+1)*$AI17</f>
        <v>0</v>
      </c>
      <c r="UH17" s="2" cm="1">
        <f t="array" ref="UH17">INDEX(增益!$A$2:$Q$40,TK17,MATCH(UH$8,增益!$B$1:$Q$1,0)+1)*$AI17</f>
        <v>0</v>
      </c>
      <c r="UI17" s="2" cm="1">
        <f t="array" ref="UI17">INDEX(增益!$A$2:$Q$40,TK17,MATCH(UI$8,增益!$B$1:$Q$1,0)+1)*$AI17</f>
        <v>0</v>
      </c>
      <c r="UM17" s="2" cm="1">
        <f t="array" ref="UM17">INDEX(云配队!$J22:$AC22,1,UM$1)</f>
        <v>0</v>
      </c>
      <c r="UN17" s="2">
        <f>IFERROR(MATCH(UM17,增益!$A$2:$A$40,FALSE),1)</f>
        <v>1</v>
      </c>
      <c r="UO17" s="2" cm="1">
        <f t="array" ref="UO17">INDEX(增益!$A$2:$Q$40,UN17,MATCH(UO$8,增益!$B$1:$Q$1,0)+1)*$AI17</f>
        <v>0</v>
      </c>
      <c r="UP17" s="2" cm="1">
        <f t="array" ref="UP17">INDEX(增益!$A$2:$Q$40,UN17,MATCH(UP$8,增益!$B$1:$Q$1,0)+1)*$AI17</f>
        <v>0</v>
      </c>
      <c r="UQ17" s="2" cm="1">
        <f t="array" ref="UQ17">INDEX(增益!$A$2:$Q$40,UN17,MATCH(UQ$8,增益!$B$1:$Q$1,0)+1)*$AI17</f>
        <v>0</v>
      </c>
      <c r="UR17" s="2" cm="1">
        <f t="array" ref="UR17">INDEX(增益!$A$2:$Q$40,UN17,MATCH(UR$8,增益!$B$1:$Q$1,0)+1)*$AI17</f>
        <v>0</v>
      </c>
      <c r="US17" s="2" cm="1">
        <f t="array" ref="US17">INDEX(增益!$A$2:$Q$40,UN17,MATCH(US$8,增益!$B$1:$Q$1,0)+1)*$AI17</f>
        <v>0</v>
      </c>
      <c r="UT17" s="2" cm="1">
        <f t="array" ref="UT17">INDEX(增益!$A$2:$Q$40,UN17,MATCH(UT$8,增益!$B$1:$Q$1,0)+1)*$AI17</f>
        <v>0</v>
      </c>
      <c r="UU17" s="2" cm="1">
        <f t="array" ref="UU17">INDEX(增益!$A$2:$Q$40,UN17,MATCH(UU$8,增益!$B$1:$Q$1,0)+1)*$AI17</f>
        <v>0</v>
      </c>
      <c r="UV17" s="2" cm="1">
        <f t="array" ref="UV17">INDEX(增益!$A$2:$Q$40,UN17,MATCH(UV$8,增益!$B$1:$Q$1,0)+1)*$AI17</f>
        <v>0</v>
      </c>
      <c r="UW17" s="2" cm="1">
        <f t="array" ref="UW17">INDEX(增益!$A$2:$Q$40,UN17,MATCH(UW$8,增益!$B$1:$Q$1,0)+1)*$AI17</f>
        <v>0</v>
      </c>
      <c r="UX17" s="2" cm="1">
        <f t="array" ref="UX17">INDEX(增益!$A$2:$Q$40,UN17,MATCH(UX$8,增益!$B$1:$Q$1,0)+1)*$AI17</f>
        <v>0</v>
      </c>
      <c r="VE17" s="2" cm="1">
        <f t="array" ref="VE17">INDEX(增益!$A$2:$Q$40,UN17,MATCH(VE$8,增益!$B$1:$Q$1,0)+1)*$AI17</f>
        <v>0</v>
      </c>
      <c r="VF17" s="2" cm="1">
        <f t="array" ref="VF17">INDEX(增益!$A$2:$Q$40,UN17,MATCH(VF$8,增益!$B$1:$Q$1,0)+1)*$AI17</f>
        <v>0</v>
      </c>
      <c r="VG17" s="2" cm="1">
        <f t="array" ref="VG17">INDEX(增益!$A$2:$Q$40,UN17,MATCH(VG$8,增益!$B$1:$Q$1,0)+1)*$AI17</f>
        <v>0</v>
      </c>
      <c r="VI17" s="2" cm="1">
        <f t="array" ref="VI17">INDEX(增益!$A$2:$Q$40,UN17,MATCH(VI$8,增益!$B$1:$Q$1,0)+1)*$AI17</f>
        <v>0</v>
      </c>
      <c r="VK17" s="2" cm="1">
        <f t="array" ref="VK17">INDEX(增益!$A$2:$Q$40,UN17,MATCH(VK$8,增益!$B$1:$Q$1,0)+1)*$AI17</f>
        <v>0</v>
      </c>
      <c r="VL17" s="2" cm="1">
        <f t="array" ref="VL17">INDEX(增益!$A$2:$Q$40,UN17,MATCH(VL$8,增益!$B$1:$Q$1,0)+1)*$AI17</f>
        <v>0</v>
      </c>
      <c r="VP17" s="2" t="str" cm="1">
        <f t="array" ref="VP17">INDEX(云配队!$J22:$AC22,1,VP$1)</f>
        <v>光套减防</v>
      </c>
      <c r="VQ17" s="2">
        <f>IFERROR(MATCH(VP17,增益!$A$2:$A$40,FALSE),1)</f>
        <v>23</v>
      </c>
      <c r="VR17" s="2" cm="1">
        <f t="array" ref="VR17">INDEX(增益!$A$2:$Q$40,VQ17,MATCH(VR$8,增益!$B$1:$Q$1,0)+1)*$AI17</f>
        <v>0</v>
      </c>
      <c r="VS17" s="2" cm="1">
        <f t="array" ref="VS17">INDEX(增益!$A$2:$Q$40,VQ17,MATCH(VS$8,增益!$B$1:$Q$1,0)+1)*$AI17</f>
        <v>0</v>
      </c>
      <c r="VT17" s="2" cm="1">
        <f t="array" ref="VT17">INDEX(增益!$A$2:$Q$40,VQ17,MATCH(VT$8,增益!$B$1:$Q$1,0)+1)*$AI17</f>
        <v>0</v>
      </c>
      <c r="VU17" s="2" cm="1">
        <f t="array" ref="VU17">INDEX(增益!$A$2:$Q$40,VQ17,MATCH(VU$8,增益!$B$1:$Q$1,0)+1)*$AI17</f>
        <v>0</v>
      </c>
      <c r="VV17" s="2" cm="1">
        <f t="array" ref="VV17">INDEX(增益!$A$2:$Q$40,VQ17,MATCH(VV$8,增益!$B$1:$Q$1,0)+1)*$AI17</f>
        <v>0</v>
      </c>
      <c r="VW17" s="2" cm="1">
        <f t="array" ref="VW17">INDEX(增益!$A$2:$Q$40,VQ17,MATCH(VW$8,增益!$B$1:$Q$1,0)+1)*$AI17</f>
        <v>0</v>
      </c>
      <c r="VX17" s="2" cm="1">
        <f t="array" ref="VX17">INDEX(增益!$A$2:$Q$40,VQ17,MATCH(VX$8,增益!$B$1:$Q$1,0)+1)*$AI17</f>
        <v>0</v>
      </c>
      <c r="VY17" s="2" cm="1">
        <f t="array" ref="VY17">INDEX(增益!$A$2:$Q$40,VQ17,MATCH(VY$8,增益!$B$1:$Q$1,0)+1)*$AI17</f>
        <v>0</v>
      </c>
      <c r="VZ17" s="2" cm="1">
        <f t="array" ref="VZ17">INDEX(增益!$A$2:$Q$40,VQ17,MATCH(VZ$8,增益!$B$1:$Q$1,0)+1)*$AI17</f>
        <v>0</v>
      </c>
      <c r="WA17" s="2" cm="1">
        <f t="array" ref="WA17">INDEX(增益!$A$2:$Q$40,VQ17,MATCH(WA$8,增益!$B$1:$Q$1,0)+1)*$AI17</f>
        <v>0</v>
      </c>
      <c r="WH17" s="2" cm="1">
        <f t="array" ref="WH17">INDEX(增益!$A$2:$Q$40,VQ17,MATCH(WH$8,增益!$B$1:$Q$1,0)+1)*$AI17</f>
        <v>0</v>
      </c>
      <c r="WI17" s="2" cm="1">
        <f t="array" ref="WI17">INDEX(增益!$A$2:$Q$40,VQ17,MATCH(WI$8,增益!$B$1:$Q$1,0)+1)*$AI17</f>
        <v>0</v>
      </c>
      <c r="WJ17" s="2" cm="1">
        <f t="array" ref="WJ17">INDEX(增益!$A$2:$Q$40,VQ17,MATCH(WJ$8,增益!$B$1:$Q$1,0)+1)*$AI17</f>
        <v>0</v>
      </c>
      <c r="WL17" s="2" cm="1">
        <f t="array" ref="WL17">INDEX(增益!$A$2:$Q$40,VQ17,MATCH(WL$8,增益!$B$1:$Q$1,0)+1)*$AI17</f>
        <v>0</v>
      </c>
      <c r="WN17" s="2" cm="1">
        <f t="array" ref="WN17">INDEX(增益!$A$2:$Q$40,VQ17,MATCH(WN$8,增益!$B$1:$Q$1,0)+1)*$AI17</f>
        <v>0.1675</v>
      </c>
      <c r="WO17" s="2" cm="1">
        <f t="array" ref="WO17">INDEX(增益!$A$2:$Q$40,VQ17,MATCH(WO$8,增益!$B$1:$Q$1,0)+1)*$AI17</f>
        <v>0</v>
      </c>
    </row>
    <row r="18" spans="35:616">
      <c r="AI18" s="2">
        <f>IF(云配队!H23&gt;0,云配队!H23,1)</f>
        <v>0.5</v>
      </c>
      <c r="AK18" s="2" t="str" cm="1">
        <f t="array" ref="AK18">INDEX(云配队!$J23:$AC23,1,AK$1)</f>
        <v>音速蓝刺猬</v>
      </c>
      <c r="AL18" s="2">
        <f>IFERROR(MATCH(AK18,增益!$A$2:$A$40,FALSE),1)</f>
        <v>26</v>
      </c>
      <c r="AM18" s="2" cm="1">
        <f t="array" ref="AM18">INDEX(增益!$A$2:$Q$40,AL18,MATCH(AM$8,增益!$B$1:$Q$1,0)+1)*$AI18</f>
        <v>0.075</v>
      </c>
      <c r="AN18" s="2" cm="1">
        <f t="array" ref="AN18">INDEX(增益!$A$2:$Q$40,AL18,MATCH(AN$8,增益!$B$1:$Q$1,0)+1)*$AI18</f>
        <v>0</v>
      </c>
      <c r="AO18" s="2" cm="1">
        <f t="array" ref="AO18">INDEX(增益!$A$2:$Q$40,AL18,MATCH(AO$8,增益!$B$1:$Q$1,0)+1)*$AI18</f>
        <v>0</v>
      </c>
      <c r="AP18" s="2" cm="1">
        <f t="array" ref="AP18">INDEX(增益!$A$2:$Q$40,AL18,MATCH(AP$8,增益!$B$1:$Q$1,0)+1)*$AI18</f>
        <v>0</v>
      </c>
      <c r="AQ18" s="2" cm="1">
        <f t="array" ref="AQ18">INDEX(增益!$A$2:$Q$40,AL18,MATCH(AQ$8,增益!$B$1:$Q$1,0)+1)*$AI18</f>
        <v>0</v>
      </c>
      <c r="AR18" s="2" cm="1">
        <f t="array" ref="AR18">INDEX(增益!$A$2:$Q$40,AL18,MATCH(AR$8,增益!$B$1:$Q$1,0)+1)*$AI18</f>
        <v>0</v>
      </c>
      <c r="AS18" s="2" cm="1">
        <f t="array" ref="AS18">INDEX(增益!$A$2:$Q$40,AL18,MATCH(AS$8,增益!$B$1:$Q$1,0)+1)*$AI18</f>
        <v>0</v>
      </c>
      <c r="AT18" s="2" cm="1">
        <f t="array" ref="AT18">INDEX(增益!$A$2:$Q$40,AL18,MATCH(AT$8,增益!$B$1:$Q$1,0)+1)*$AI18</f>
        <v>0</v>
      </c>
      <c r="AU18" s="2" cm="1">
        <f t="array" ref="AU18">INDEX(增益!$A$2:$Q$40,AL18,MATCH(AU$8,增益!$B$1:$Q$1,0)+1)*$AI18</f>
        <v>0</v>
      </c>
      <c r="AV18" s="2" cm="1">
        <f t="array" ref="AV18">INDEX(增益!$A$2:$Q$40,AL18,MATCH(AV$8,增益!$B$1:$Q$1,0)+1)*$AI18</f>
        <v>0</v>
      </c>
      <c r="BC18" s="2" cm="1">
        <f t="array" ref="BC18">INDEX(增益!$A$2:$Q$40,AL18,MATCH(BC$8,增益!$B$1:$Q$1,0)+1)*$AI18</f>
        <v>0</v>
      </c>
      <c r="BD18" s="2" cm="1">
        <f t="array" ref="BD18">INDEX(增益!$A$2:$Q$40,AL18,MATCH(BD$8,增益!$B$1:$Q$1,0)+1)*$AI18</f>
        <v>0</v>
      </c>
      <c r="BE18" s="2" cm="1">
        <f t="array" ref="BE18">INDEX(增益!$A$2:$Q$40,AL18,MATCH(BE$8,增益!$B$1:$Q$1,0)+1)*$AI18</f>
        <v>0</v>
      </c>
      <c r="BG18" s="2" cm="1">
        <f t="array" ref="BG18">INDEX(增益!$A$2:$Q$40,AL18,MATCH(BG$8,增益!$B$1:$Q$1,0)+1)*$AI18</f>
        <v>0</v>
      </c>
      <c r="BI18" s="2" cm="1">
        <f t="array" ref="BI18">INDEX(增益!$A$2:$Q$40,AL18,MATCH(BI$8,增益!$B$1:$Q$1,0)+1)*$AI18</f>
        <v>0</v>
      </c>
      <c r="BJ18" s="2" cm="1">
        <f t="array" ref="BJ18">INDEX(增益!$A$2:$Q$40,AL18,MATCH(BJ$8,增益!$B$1:$Q$1,0)+1)*$AI18</f>
        <v>0</v>
      </c>
      <c r="BN18" s="2" t="str" cm="1">
        <f t="array" ref="BN18">INDEX(云配队!$J23:$AC23,1,BN$1)</f>
        <v>音速蓝刺猬</v>
      </c>
      <c r="BO18" s="2">
        <f>IFERROR(MATCH(BN18,增益!$A$2:$A$40,FALSE),1)</f>
        <v>26</v>
      </c>
      <c r="BP18" s="2" cm="1">
        <f t="array" ref="BP18">INDEX(增益!$A$2:$Q$40,BO18,MATCH(BP$8,增益!$B$1:$Q$1,0)+1)*$AI18</f>
        <v>0.075</v>
      </c>
      <c r="BQ18" s="2" cm="1">
        <f t="array" ref="BQ18">INDEX(增益!$A$2:$Q$40,BO18,MATCH(BQ$8,增益!$B$1:$Q$1,0)+1)*$AI18</f>
        <v>0</v>
      </c>
      <c r="BR18" s="2" cm="1">
        <f t="array" ref="BR18">INDEX(增益!$A$2:$Q$40,BO18,MATCH(BR$8,增益!$B$1:$Q$1,0)+1)*$AI18</f>
        <v>0</v>
      </c>
      <c r="BS18" s="2" cm="1">
        <f t="array" ref="BS18">INDEX(增益!$A$2:$Q$40,BO18,MATCH(BS$8,增益!$B$1:$Q$1,0)+1)*$AI18</f>
        <v>0</v>
      </c>
      <c r="BT18" s="2" cm="1">
        <f t="array" ref="BT18">INDEX(增益!$A$2:$Q$40,BO18,MATCH(BT$8,增益!$B$1:$Q$1,0)+1)*$AI18</f>
        <v>0</v>
      </c>
      <c r="BU18" s="2" cm="1">
        <f t="array" ref="BU18">INDEX(增益!$A$2:$Q$40,BO18,MATCH(BU$8,增益!$B$1:$Q$1,0)+1)*$AI18</f>
        <v>0</v>
      </c>
      <c r="BV18" s="2" cm="1">
        <f t="array" ref="BV18">INDEX(增益!$A$2:$Q$40,BO18,MATCH(BV$8,增益!$B$1:$Q$1,0)+1)*$AI18</f>
        <v>0</v>
      </c>
      <c r="BW18" s="2" cm="1">
        <f t="array" ref="BW18">INDEX(增益!$A$2:$Q$40,BO18,MATCH(BW$8,增益!$B$1:$Q$1,0)+1)*$AI18</f>
        <v>0</v>
      </c>
      <c r="BX18" s="2" cm="1">
        <f t="array" ref="BX18">INDEX(增益!$A$2:$Q$40,BO18,MATCH(BX$8,增益!$B$1:$Q$1,0)+1)*$AI18</f>
        <v>0</v>
      </c>
      <c r="BY18" s="2" cm="1">
        <f t="array" ref="BY18">INDEX(增益!$A$2:$Q$40,BO18,MATCH(BY$8,增益!$B$1:$Q$1,0)+1)*$AI18</f>
        <v>0</v>
      </c>
      <c r="CF18" s="2" cm="1">
        <f t="array" ref="CF18">INDEX(增益!$A$2:$Q$40,BO18,MATCH(CF$8,增益!$B$1:$Q$1,0)+1)*$AI18</f>
        <v>0</v>
      </c>
      <c r="CG18" s="2" cm="1">
        <f t="array" ref="CG18">INDEX(增益!$A$2:$Q$40,BO18,MATCH(CG$8,增益!$B$1:$Q$1,0)+1)*$AI18</f>
        <v>0</v>
      </c>
      <c r="CH18" s="2" cm="1">
        <f t="array" ref="CH18">INDEX(增益!$A$2:$Q$40,BO18,MATCH(CH$8,增益!$B$1:$Q$1,0)+1)*$AI18</f>
        <v>0</v>
      </c>
      <c r="CJ18" s="2" cm="1">
        <f t="array" ref="CJ18">INDEX(增益!$A$2:$Q$40,BO18,MATCH(CJ$8,增益!$B$1:$Q$1,0)+1)*$AI18</f>
        <v>0</v>
      </c>
      <c r="CL18" s="2" cm="1">
        <f t="array" ref="CL18">INDEX(增益!$A$2:$Q$40,BO18,MATCH(CL$8,增益!$B$1:$Q$1,0)+1)*$AI18</f>
        <v>0</v>
      </c>
      <c r="CM18" s="2" cm="1">
        <f t="array" ref="CM18">INDEX(增益!$A$2:$Q$40,BO18,MATCH(CM$8,增益!$B$1:$Q$1,0)+1)*$AI18</f>
        <v>0</v>
      </c>
      <c r="CQ18" s="2" t="str" cm="1">
        <f t="array" ref="CQ18">INDEX(云配队!$J23:$AC23,1,CQ$1)</f>
        <v>音速蓝刺猬</v>
      </c>
      <c r="CR18" s="2">
        <f>IFERROR(MATCH(CQ18,增益!$A$2:$A$40,FALSE),1)</f>
        <v>26</v>
      </c>
      <c r="CS18" s="2" cm="1">
        <f t="array" ref="CS18">INDEX(增益!$A$2:$Q$40,CR18,MATCH(CS$8,增益!$B$1:$Q$1,0)+1)*$AI18</f>
        <v>0.075</v>
      </c>
      <c r="CT18" s="2" cm="1">
        <f t="array" ref="CT18">INDEX(增益!$A$2:$Q$40,CR18,MATCH(CT$8,增益!$B$1:$Q$1,0)+1)*$AI18</f>
        <v>0</v>
      </c>
      <c r="CU18" s="2" cm="1">
        <f t="array" ref="CU18">INDEX(增益!$A$2:$Q$40,CR18,MATCH(CU$8,增益!$B$1:$Q$1,0)+1)*$AI18</f>
        <v>0</v>
      </c>
      <c r="CV18" s="2" cm="1">
        <f t="array" ref="CV18">INDEX(增益!$A$2:$Q$40,CR18,MATCH(CV$8,增益!$B$1:$Q$1,0)+1)*$AI18</f>
        <v>0</v>
      </c>
      <c r="CW18" s="2" cm="1">
        <f t="array" ref="CW18">INDEX(增益!$A$2:$Q$40,CR18,MATCH(CW$8,增益!$B$1:$Q$1,0)+1)*$AI18</f>
        <v>0</v>
      </c>
      <c r="CX18" s="2" cm="1">
        <f t="array" ref="CX18">INDEX(增益!$A$2:$Q$40,CR18,MATCH(CX$8,增益!$B$1:$Q$1,0)+1)*$AI18</f>
        <v>0</v>
      </c>
      <c r="CY18" s="2" cm="1">
        <f t="array" ref="CY18">INDEX(增益!$A$2:$Q$40,CR18,MATCH(CY$8,增益!$B$1:$Q$1,0)+1)*$AI18</f>
        <v>0</v>
      </c>
      <c r="CZ18" s="2" cm="1">
        <f t="array" ref="CZ18">INDEX(增益!$A$2:$Q$40,CR18,MATCH(CZ$8,增益!$B$1:$Q$1,0)+1)*$AI18</f>
        <v>0</v>
      </c>
      <c r="DA18" s="2" cm="1">
        <f t="array" ref="DA18">INDEX(增益!$A$2:$Q$40,CR18,MATCH(DA$8,增益!$B$1:$Q$1,0)+1)*$AI18</f>
        <v>0</v>
      </c>
      <c r="DB18" s="2" cm="1">
        <f t="array" ref="DB18">INDEX(增益!$A$2:$Q$40,CR18,MATCH(DB$8,增益!$B$1:$Q$1,0)+1)*$AI18</f>
        <v>0</v>
      </c>
      <c r="DI18" s="2" cm="1">
        <f t="array" ref="DI18">INDEX(增益!$A$2:$Q$40,CR18,MATCH(DI$8,增益!$B$1:$Q$1,0)+1)*$AI18</f>
        <v>0</v>
      </c>
      <c r="DJ18" s="2" cm="1">
        <f t="array" ref="DJ18">INDEX(增益!$A$2:$Q$40,CR18,MATCH(DJ$8,增益!$B$1:$Q$1,0)+1)*$AI18</f>
        <v>0</v>
      </c>
      <c r="DK18" s="2" cm="1">
        <f t="array" ref="DK18">INDEX(增益!$A$2:$Q$40,CR18,MATCH(DK$8,增益!$B$1:$Q$1,0)+1)*$AI18</f>
        <v>0</v>
      </c>
      <c r="DM18" s="2" cm="1">
        <f t="array" ref="DM18">INDEX(增益!$A$2:$Q$40,CR18,MATCH(DM$8,增益!$B$1:$Q$1,0)+1)*$AI18</f>
        <v>0</v>
      </c>
      <c r="DO18" s="2" cm="1">
        <f t="array" ref="DO18">INDEX(增益!$A$2:$Q$40,CR18,MATCH(DO$8,增益!$B$1:$Q$1,0)+1)*$AI18</f>
        <v>0</v>
      </c>
      <c r="DP18" s="2" cm="1">
        <f t="array" ref="DP18">INDEX(增益!$A$2:$Q$40,CR18,MATCH(DP$8,增益!$B$1:$Q$1,0)+1)*$AI18</f>
        <v>0</v>
      </c>
      <c r="DT18" s="2" t="str" cm="1">
        <f t="array" ref="DT18">INDEX(云配队!$J23:$AC23,1,DT$1)</f>
        <v>音速蓝刺猬</v>
      </c>
      <c r="DU18" s="2">
        <f>IFERROR(MATCH(DT18,增益!$A$2:$A$40,FALSE),1)</f>
        <v>26</v>
      </c>
      <c r="DV18" s="2" cm="1">
        <f t="array" ref="DV18">INDEX(增益!$A$2:$Q$40,DU18,MATCH(DV$8,增益!$B$1:$Q$1,0)+1)*$AI18</f>
        <v>0.075</v>
      </c>
      <c r="DW18" s="2" cm="1">
        <f t="array" ref="DW18">INDEX(增益!$A$2:$Q$40,DU18,MATCH(DW$8,增益!$B$1:$Q$1,0)+1)*$AI18</f>
        <v>0</v>
      </c>
      <c r="DX18" s="2" cm="1">
        <f t="array" ref="DX18">INDEX(增益!$A$2:$Q$40,DU18,MATCH(DX$8,增益!$B$1:$Q$1,0)+1)*$AI18</f>
        <v>0</v>
      </c>
      <c r="DY18" s="2" cm="1">
        <f t="array" ref="DY18">INDEX(增益!$A$2:$Q$40,DU18,MATCH(DY$8,增益!$B$1:$Q$1,0)+1)*$AI18</f>
        <v>0</v>
      </c>
      <c r="DZ18" s="2" cm="1">
        <f t="array" ref="DZ18">INDEX(增益!$A$2:$Q$40,DU18,MATCH(DZ$8,增益!$B$1:$Q$1,0)+1)*$AI18</f>
        <v>0</v>
      </c>
      <c r="EA18" s="2" cm="1">
        <f t="array" ref="EA18">INDEX(增益!$A$2:$Q$40,DU18,MATCH(EA$8,增益!$B$1:$Q$1,0)+1)*$AI18</f>
        <v>0</v>
      </c>
      <c r="EB18" s="2" cm="1">
        <f t="array" ref="EB18">INDEX(增益!$A$2:$Q$40,DU18,MATCH(EB$8,增益!$B$1:$Q$1,0)+1)*$AI18</f>
        <v>0</v>
      </c>
      <c r="EC18" s="2" cm="1">
        <f t="array" ref="EC18">INDEX(增益!$A$2:$Q$40,DU18,MATCH(EC$8,增益!$B$1:$Q$1,0)+1)*$AI18</f>
        <v>0</v>
      </c>
      <c r="ED18" s="2" cm="1">
        <f t="array" ref="ED18">INDEX(增益!$A$2:$Q$40,DU18,MATCH(ED$8,增益!$B$1:$Q$1,0)+1)*$AI18</f>
        <v>0</v>
      </c>
      <c r="EE18" s="2" cm="1">
        <f t="array" ref="EE18">INDEX(增益!$A$2:$Q$40,DU18,MATCH(EE$8,增益!$B$1:$Q$1,0)+1)*$AI18</f>
        <v>0</v>
      </c>
      <c r="EL18" s="2" cm="1">
        <f t="array" ref="EL18">INDEX(增益!$A$2:$Q$40,DU18,MATCH(EL$8,增益!$B$1:$Q$1,0)+1)*$AI18</f>
        <v>0</v>
      </c>
      <c r="EM18" s="2" cm="1">
        <f t="array" ref="EM18">INDEX(增益!$A$2:$Q$40,DU18,MATCH(EM$8,增益!$B$1:$Q$1,0)+1)*$AI18</f>
        <v>0</v>
      </c>
      <c r="EN18" s="2" cm="1">
        <f t="array" ref="EN18">INDEX(增益!$A$2:$Q$40,DU18,MATCH(EN$8,增益!$B$1:$Q$1,0)+1)*$AI18</f>
        <v>0</v>
      </c>
      <c r="EP18" s="2" cm="1">
        <f t="array" ref="EP18">INDEX(增益!$A$2:$Q$40,DU18,MATCH(EP$8,增益!$B$1:$Q$1,0)+1)*$AI18</f>
        <v>0</v>
      </c>
      <c r="ER18" s="2" cm="1">
        <f t="array" ref="ER18">INDEX(增益!$A$2:$Q$40,DU18,MATCH(ER$8,增益!$B$1:$Q$1,0)+1)*$AI18</f>
        <v>0</v>
      </c>
      <c r="ES18" s="2" cm="1">
        <f t="array" ref="ES18">INDEX(增益!$A$2:$Q$40,DU18,MATCH(ES$8,增益!$B$1:$Q$1,0)+1)*$AI18</f>
        <v>0</v>
      </c>
      <c r="EW18" s="2" t="str" cm="1">
        <f t="array" ref="EW18">INDEX(云配队!$J23:$AC23,1,EW$1)</f>
        <v>音速蓝刺猬</v>
      </c>
      <c r="EX18" s="2">
        <f>IFERROR(MATCH(EW18,增益!$A$2:$A$40,FALSE),1)</f>
        <v>26</v>
      </c>
      <c r="EY18" s="2" cm="1">
        <f t="array" ref="EY18">INDEX(增益!$A$2:$Q$40,EX18,MATCH(EY$8,增益!$B$1:$Q$1,0)+1)*$AI18</f>
        <v>0.075</v>
      </c>
      <c r="EZ18" s="2" cm="1">
        <f t="array" ref="EZ18">INDEX(增益!$A$2:$Q$40,EX18,MATCH(EZ$8,增益!$B$1:$Q$1,0)+1)*$AI18</f>
        <v>0</v>
      </c>
      <c r="FA18" s="2" cm="1">
        <f t="array" ref="FA18">INDEX(增益!$A$2:$Q$40,EX18,MATCH(FA$8,增益!$B$1:$Q$1,0)+1)*$AI18</f>
        <v>0</v>
      </c>
      <c r="FB18" s="2" cm="1">
        <f t="array" ref="FB18">INDEX(增益!$A$2:$Q$40,EX18,MATCH(FB$8,增益!$B$1:$Q$1,0)+1)*$AI18</f>
        <v>0</v>
      </c>
      <c r="FC18" s="2" cm="1">
        <f t="array" ref="FC18">INDEX(增益!$A$2:$Q$40,EX18,MATCH(FC$8,增益!$B$1:$Q$1,0)+1)*$AI18</f>
        <v>0</v>
      </c>
      <c r="FD18" s="2" cm="1">
        <f t="array" ref="FD18">INDEX(增益!$A$2:$Q$40,EX18,MATCH(FD$8,增益!$B$1:$Q$1,0)+1)*$AI18</f>
        <v>0</v>
      </c>
      <c r="FE18" s="2" cm="1">
        <f t="array" ref="FE18">INDEX(增益!$A$2:$Q$40,EX18,MATCH(FE$8,增益!$B$1:$Q$1,0)+1)*$AI18</f>
        <v>0</v>
      </c>
      <c r="FF18" s="2" cm="1">
        <f t="array" ref="FF18">INDEX(增益!$A$2:$Q$40,EX18,MATCH(FF$8,增益!$B$1:$Q$1,0)+1)*$AI18</f>
        <v>0</v>
      </c>
      <c r="FG18" s="2" cm="1">
        <f t="array" ref="FG18">INDEX(增益!$A$2:$Q$40,EX18,MATCH(FG$8,增益!$B$1:$Q$1,0)+1)*$AI18</f>
        <v>0</v>
      </c>
      <c r="FH18" s="2" cm="1">
        <f t="array" ref="FH18">INDEX(增益!$A$2:$Q$40,EX18,MATCH(FH$8,增益!$B$1:$Q$1,0)+1)*$AI18</f>
        <v>0</v>
      </c>
      <c r="FO18" s="2" cm="1">
        <f t="array" ref="FO18">INDEX(增益!$A$2:$Q$40,EX18,MATCH(FO$8,增益!$B$1:$Q$1,0)+1)*$AI18</f>
        <v>0</v>
      </c>
      <c r="FP18" s="2" cm="1">
        <f t="array" ref="FP18">INDEX(增益!$A$2:$Q$40,EX18,MATCH(FP$8,增益!$B$1:$Q$1,0)+1)*$AI18</f>
        <v>0</v>
      </c>
      <c r="FQ18" s="2" cm="1">
        <f t="array" ref="FQ18">INDEX(增益!$A$2:$Q$40,EX18,MATCH(FQ$8,增益!$B$1:$Q$1,0)+1)*$AI18</f>
        <v>0</v>
      </c>
      <c r="FS18" s="2" cm="1">
        <f t="array" ref="FS18">INDEX(增益!$A$2:$Q$40,EX18,MATCH(FS$8,增益!$B$1:$Q$1,0)+1)*$AI18</f>
        <v>0</v>
      </c>
      <c r="FU18" s="2" cm="1">
        <f t="array" ref="FU18">INDEX(增益!$A$2:$Q$40,EX18,MATCH(FU$8,增益!$B$1:$Q$1,0)+1)*$AI18</f>
        <v>0</v>
      </c>
      <c r="FV18" s="2" cm="1">
        <f t="array" ref="FV18">INDEX(增益!$A$2:$Q$40,EX18,MATCH(FV$8,增益!$B$1:$Q$1,0)+1)*$AI18</f>
        <v>0</v>
      </c>
      <c r="FZ18" s="2" t="str" cm="1">
        <f t="array" ref="FZ18">INDEX(云配队!$J23:$AC23,1,FZ$1)</f>
        <v>音速蓝刺猬</v>
      </c>
      <c r="GA18" s="2">
        <f>IFERROR(MATCH(FZ18,增益!$A$2:$A$40,FALSE),1)</f>
        <v>26</v>
      </c>
      <c r="GB18" s="2" cm="1">
        <f t="array" ref="GB18">INDEX(增益!$A$2:$Q$40,GA18,MATCH(GB$8,增益!$B$1:$Q$1,0)+1)*$AI18</f>
        <v>0.075</v>
      </c>
      <c r="GC18" s="2" cm="1">
        <f t="array" ref="GC18">INDEX(增益!$A$2:$Q$40,GA18,MATCH(GC$8,增益!$B$1:$Q$1,0)+1)*$AI18</f>
        <v>0</v>
      </c>
      <c r="GD18" s="2" cm="1">
        <f t="array" ref="GD18">INDEX(增益!$A$2:$Q$40,GA18,MATCH(GD$8,增益!$B$1:$Q$1,0)+1)*$AI18</f>
        <v>0</v>
      </c>
      <c r="GE18" s="2" cm="1">
        <f t="array" ref="GE18">INDEX(增益!$A$2:$Q$40,GA18,MATCH(GE$8,增益!$B$1:$Q$1,0)+1)*$AI18</f>
        <v>0</v>
      </c>
      <c r="GF18" s="2" cm="1">
        <f t="array" ref="GF18">INDEX(增益!$A$2:$Q$40,GA18,MATCH(GF$8,增益!$B$1:$Q$1,0)+1)*$AI18</f>
        <v>0</v>
      </c>
      <c r="GG18" s="2" cm="1">
        <f t="array" ref="GG18">INDEX(增益!$A$2:$Q$40,GA18,MATCH(GG$8,增益!$B$1:$Q$1,0)+1)*$AI18</f>
        <v>0</v>
      </c>
      <c r="GH18" s="2" cm="1">
        <f t="array" ref="GH18">INDEX(增益!$A$2:$Q$40,GA18,MATCH(GH$8,增益!$B$1:$Q$1,0)+1)*$AI18</f>
        <v>0</v>
      </c>
      <c r="GI18" s="2" cm="1">
        <f t="array" ref="GI18">INDEX(增益!$A$2:$Q$40,GA18,MATCH(GI$8,增益!$B$1:$Q$1,0)+1)*$AI18</f>
        <v>0</v>
      </c>
      <c r="GJ18" s="2" cm="1">
        <f t="array" ref="GJ18">INDEX(增益!$A$2:$Q$40,GA18,MATCH(GJ$8,增益!$B$1:$Q$1,0)+1)*$AI18</f>
        <v>0</v>
      </c>
      <c r="GK18" s="2" cm="1">
        <f t="array" ref="GK18">INDEX(增益!$A$2:$Q$40,GA18,MATCH(GK$8,增益!$B$1:$Q$1,0)+1)*$AI18</f>
        <v>0</v>
      </c>
      <c r="GR18" s="2" cm="1">
        <f t="array" ref="GR18">INDEX(增益!$A$2:$Q$40,GA18,MATCH(GR$8,增益!$B$1:$Q$1,0)+1)*$AI18</f>
        <v>0</v>
      </c>
      <c r="GS18" s="2" cm="1">
        <f t="array" ref="GS18">INDEX(增益!$A$2:$Q$40,GA18,MATCH(GS$8,增益!$B$1:$Q$1,0)+1)*$AI18</f>
        <v>0</v>
      </c>
      <c r="GT18" s="2" cm="1">
        <f t="array" ref="GT18">INDEX(增益!$A$2:$Q$40,GA18,MATCH(GT$8,增益!$B$1:$Q$1,0)+1)*$AI18</f>
        <v>0</v>
      </c>
      <c r="GV18" s="2" cm="1">
        <f t="array" ref="GV18">INDEX(增益!$A$2:$Q$40,GA18,MATCH(GV$8,增益!$B$1:$Q$1,0)+1)*$AI18</f>
        <v>0</v>
      </c>
      <c r="GX18" s="2" cm="1">
        <f t="array" ref="GX18">INDEX(增益!$A$2:$Q$40,GA18,MATCH(GX$8,增益!$B$1:$Q$1,0)+1)*$AI18</f>
        <v>0</v>
      </c>
      <c r="GY18" s="2" cm="1">
        <f t="array" ref="GY18">INDEX(增益!$A$2:$Q$40,GA18,MATCH(GY$8,增益!$B$1:$Q$1,0)+1)*$AI18</f>
        <v>0</v>
      </c>
      <c r="HC18" s="2" t="str" cm="1">
        <f t="array" ref="HC18">INDEX(云配队!$J23:$AC23,1,HC$1)</f>
        <v>音速蓝刺猬</v>
      </c>
      <c r="HD18" s="2">
        <f>IFERROR(MATCH(HC18,增益!$A$2:$A$40,FALSE),1)</f>
        <v>26</v>
      </c>
      <c r="HE18" s="2" cm="1">
        <f t="array" ref="HE18">INDEX(增益!$A$2:$Q$40,HD18,MATCH(HE$8,增益!$B$1:$Q$1,0)+1)*$AI18</f>
        <v>0.075</v>
      </c>
      <c r="HF18" s="2" cm="1">
        <f t="array" ref="HF18">INDEX(增益!$A$2:$Q$40,HD18,MATCH(HF$8,增益!$B$1:$Q$1,0)+1)*$AI18</f>
        <v>0</v>
      </c>
      <c r="HG18" s="2" cm="1">
        <f t="array" ref="HG18">INDEX(增益!$A$2:$Q$40,HD18,MATCH(HG$8,增益!$B$1:$Q$1,0)+1)*$AI18</f>
        <v>0</v>
      </c>
      <c r="HH18" s="2" cm="1">
        <f t="array" ref="HH18">INDEX(增益!$A$2:$Q$40,HD18,MATCH(HH$8,增益!$B$1:$Q$1,0)+1)*$AI18</f>
        <v>0</v>
      </c>
      <c r="HI18" s="2" cm="1">
        <f t="array" ref="HI18">INDEX(增益!$A$2:$Q$40,HD18,MATCH(HI$8,增益!$B$1:$Q$1,0)+1)*$AI18</f>
        <v>0</v>
      </c>
      <c r="HJ18" s="2" cm="1">
        <f t="array" ref="HJ18">INDEX(增益!$A$2:$Q$40,HD18,MATCH(HJ$8,增益!$B$1:$Q$1,0)+1)*$AI18</f>
        <v>0</v>
      </c>
      <c r="HK18" s="2" cm="1">
        <f t="array" ref="HK18">INDEX(增益!$A$2:$Q$40,HD18,MATCH(HK$8,增益!$B$1:$Q$1,0)+1)*$AI18</f>
        <v>0</v>
      </c>
      <c r="HL18" s="2" cm="1">
        <f t="array" ref="HL18">INDEX(增益!$A$2:$Q$40,HD18,MATCH(HL$8,增益!$B$1:$Q$1,0)+1)*$AI18</f>
        <v>0</v>
      </c>
      <c r="HM18" s="2" cm="1">
        <f t="array" ref="HM18">INDEX(增益!$A$2:$Q$40,HD18,MATCH(HM$8,增益!$B$1:$Q$1,0)+1)*$AI18</f>
        <v>0</v>
      </c>
      <c r="HN18" s="2" cm="1">
        <f t="array" ref="HN18">INDEX(增益!$A$2:$Q$40,HD18,MATCH(HN$8,增益!$B$1:$Q$1,0)+1)*$AI18</f>
        <v>0</v>
      </c>
      <c r="HU18" s="2" cm="1">
        <f t="array" ref="HU18">INDEX(增益!$A$2:$Q$40,HD18,MATCH(HU$8,增益!$B$1:$Q$1,0)+1)*$AI18</f>
        <v>0</v>
      </c>
      <c r="HV18" s="2" cm="1">
        <f t="array" ref="HV18">INDEX(增益!$A$2:$Q$40,HD18,MATCH(HV$8,增益!$B$1:$Q$1,0)+1)*$AI18</f>
        <v>0</v>
      </c>
      <c r="HW18" s="2" cm="1">
        <f t="array" ref="HW18">INDEX(增益!$A$2:$Q$40,HD18,MATCH(HW$8,增益!$B$1:$Q$1,0)+1)*$AI18</f>
        <v>0</v>
      </c>
      <c r="HY18" s="2" cm="1">
        <f t="array" ref="HY18">INDEX(增益!$A$2:$Q$40,HD18,MATCH(HY$8,增益!$B$1:$Q$1,0)+1)*$AI18</f>
        <v>0</v>
      </c>
      <c r="IA18" s="2" cm="1">
        <f t="array" ref="IA18">INDEX(增益!$A$2:$Q$40,HD18,MATCH(IA$8,增益!$B$1:$Q$1,0)+1)*$AI18</f>
        <v>0</v>
      </c>
      <c r="IB18" s="2" cm="1">
        <f t="array" ref="IB18">INDEX(增益!$A$2:$Q$40,HD18,MATCH(IB$8,增益!$B$1:$Q$1,0)+1)*$AI18</f>
        <v>0</v>
      </c>
      <c r="IF18" s="2" t="str" cm="1">
        <f t="array" ref="IF18">INDEX(云配队!$J23:$AC23,1,IF$1)</f>
        <v>音速蓝刺猬</v>
      </c>
      <c r="IG18" s="2">
        <f>IFERROR(MATCH(IF18,增益!$A$2:$A$40,FALSE),1)</f>
        <v>26</v>
      </c>
      <c r="IH18" s="2" cm="1">
        <f t="array" ref="IH18">INDEX(增益!$A$2:$Q$40,IG18,MATCH(IH$8,增益!$B$1:$Q$1,0)+1)*$AI18</f>
        <v>0.075</v>
      </c>
      <c r="II18" s="2" cm="1">
        <f t="array" ref="II18">INDEX(增益!$A$2:$Q$40,IG18,MATCH(II$8,增益!$B$1:$Q$1,0)+1)*$AI18</f>
        <v>0</v>
      </c>
      <c r="IJ18" s="2" cm="1">
        <f t="array" ref="IJ18">INDEX(增益!$A$2:$Q$40,IG18,MATCH(IJ$8,增益!$B$1:$Q$1,0)+1)*$AI18</f>
        <v>0</v>
      </c>
      <c r="IK18" s="2" cm="1">
        <f t="array" ref="IK18">INDEX(增益!$A$2:$Q$40,IG18,MATCH(IK$8,增益!$B$1:$Q$1,0)+1)*$AI18</f>
        <v>0</v>
      </c>
      <c r="IL18" s="2" cm="1">
        <f t="array" ref="IL18">INDEX(增益!$A$2:$Q$40,IG18,MATCH(IL$8,增益!$B$1:$Q$1,0)+1)*$AI18</f>
        <v>0</v>
      </c>
      <c r="IM18" s="2" cm="1">
        <f t="array" ref="IM18">INDEX(增益!$A$2:$Q$40,IG18,MATCH(IM$8,增益!$B$1:$Q$1,0)+1)*$AI18</f>
        <v>0</v>
      </c>
      <c r="IN18" s="2" cm="1">
        <f t="array" ref="IN18">INDEX(增益!$A$2:$Q$40,IG18,MATCH(IN$8,增益!$B$1:$Q$1,0)+1)*$AI18</f>
        <v>0</v>
      </c>
      <c r="IO18" s="2" cm="1">
        <f t="array" ref="IO18">INDEX(增益!$A$2:$Q$40,IG18,MATCH(IO$8,增益!$B$1:$Q$1,0)+1)*$AI18</f>
        <v>0</v>
      </c>
      <c r="IP18" s="2" cm="1">
        <f t="array" ref="IP18">INDEX(增益!$A$2:$Q$40,IG18,MATCH(IP$8,增益!$B$1:$Q$1,0)+1)*$AI18</f>
        <v>0</v>
      </c>
      <c r="IQ18" s="2" cm="1">
        <f t="array" ref="IQ18">INDEX(增益!$A$2:$Q$40,IG18,MATCH(IQ$8,增益!$B$1:$Q$1,0)+1)*$AI18</f>
        <v>0</v>
      </c>
      <c r="IX18" s="2" cm="1">
        <f t="array" ref="IX18">INDEX(增益!$A$2:$Q$40,IG18,MATCH(IX$8,增益!$B$1:$Q$1,0)+1)*$AI18</f>
        <v>0</v>
      </c>
      <c r="IY18" s="2" cm="1">
        <f t="array" ref="IY18">INDEX(增益!$A$2:$Q$40,IG18,MATCH(IY$8,增益!$B$1:$Q$1,0)+1)*$AI18</f>
        <v>0</v>
      </c>
      <c r="IZ18" s="2" cm="1">
        <f t="array" ref="IZ18">INDEX(增益!$A$2:$Q$40,IG18,MATCH(IZ$8,增益!$B$1:$Q$1,0)+1)*$AI18</f>
        <v>0</v>
      </c>
      <c r="JB18" s="2" cm="1">
        <f t="array" ref="JB18">INDEX(增益!$A$2:$Q$40,IG18,MATCH(JB$8,增益!$B$1:$Q$1,0)+1)*$AI18</f>
        <v>0</v>
      </c>
      <c r="JD18" s="2" cm="1">
        <f t="array" ref="JD18">INDEX(增益!$A$2:$Q$40,IG18,MATCH(JD$8,增益!$B$1:$Q$1,0)+1)*$AI18</f>
        <v>0</v>
      </c>
      <c r="JE18" s="2" cm="1">
        <f t="array" ref="JE18">INDEX(增益!$A$2:$Q$40,IG18,MATCH(JE$8,增益!$B$1:$Q$1,0)+1)*$AI18</f>
        <v>0</v>
      </c>
      <c r="JI18" s="2" t="str" cm="1">
        <f t="array" ref="JI18">INDEX(云配队!$J23:$AC23,1,JI$1)</f>
        <v>音速蓝刺猬</v>
      </c>
      <c r="JJ18" s="2">
        <f>IFERROR(MATCH(JI18,增益!$A$2:$A$40,FALSE),1)</f>
        <v>26</v>
      </c>
      <c r="JK18" s="2" cm="1">
        <f t="array" ref="JK18">INDEX(增益!$A$2:$Q$40,JJ18,MATCH(JK$8,增益!$B$1:$Q$1,0)+1)*$AI18</f>
        <v>0.075</v>
      </c>
      <c r="JL18" s="2" cm="1">
        <f t="array" ref="JL18">INDEX(增益!$A$2:$Q$40,JJ18,MATCH(JL$8,增益!$B$1:$Q$1,0)+1)*$AI18</f>
        <v>0</v>
      </c>
      <c r="JM18" s="2" cm="1">
        <f t="array" ref="JM18">INDEX(增益!$A$2:$Q$40,JJ18,MATCH(JM$8,增益!$B$1:$Q$1,0)+1)*$AI18</f>
        <v>0</v>
      </c>
      <c r="JN18" s="2" cm="1">
        <f t="array" ref="JN18">INDEX(增益!$A$2:$Q$40,JJ18,MATCH(JN$8,增益!$B$1:$Q$1,0)+1)*$AI18</f>
        <v>0</v>
      </c>
      <c r="JO18" s="2" cm="1">
        <f t="array" ref="JO18">INDEX(增益!$A$2:$Q$40,JJ18,MATCH(JO$8,增益!$B$1:$Q$1,0)+1)*$AI18</f>
        <v>0</v>
      </c>
      <c r="JP18" s="2" cm="1">
        <f t="array" ref="JP18">INDEX(增益!$A$2:$Q$40,JJ18,MATCH(JP$8,增益!$B$1:$Q$1,0)+1)*$AI18</f>
        <v>0</v>
      </c>
      <c r="JQ18" s="2" cm="1">
        <f t="array" ref="JQ18">INDEX(增益!$A$2:$Q$40,JJ18,MATCH(JQ$8,增益!$B$1:$Q$1,0)+1)*$AI18</f>
        <v>0</v>
      </c>
      <c r="JR18" s="2" cm="1">
        <f t="array" ref="JR18">INDEX(增益!$A$2:$Q$40,JJ18,MATCH(JR$8,增益!$B$1:$Q$1,0)+1)*$AI18</f>
        <v>0</v>
      </c>
      <c r="JS18" s="2" cm="1">
        <f t="array" ref="JS18">INDEX(增益!$A$2:$Q$40,JJ18,MATCH(JS$8,增益!$B$1:$Q$1,0)+1)*$AI18</f>
        <v>0</v>
      </c>
      <c r="JT18" s="2" cm="1">
        <f t="array" ref="JT18">INDEX(增益!$A$2:$Q$40,JJ18,MATCH(JT$8,增益!$B$1:$Q$1,0)+1)*$AI18</f>
        <v>0</v>
      </c>
      <c r="KA18" s="2" cm="1">
        <f t="array" ref="KA18">INDEX(增益!$A$2:$Q$40,JJ18,MATCH(KA$8,增益!$B$1:$Q$1,0)+1)*$AI18</f>
        <v>0</v>
      </c>
      <c r="KB18" s="2" cm="1">
        <f t="array" ref="KB18">INDEX(增益!$A$2:$Q$40,JJ18,MATCH(KB$8,增益!$B$1:$Q$1,0)+1)*$AI18</f>
        <v>0</v>
      </c>
      <c r="KC18" s="2" cm="1">
        <f t="array" ref="KC18">INDEX(增益!$A$2:$Q$40,JJ18,MATCH(KC$8,增益!$B$1:$Q$1,0)+1)*$AI18</f>
        <v>0</v>
      </c>
      <c r="KE18" s="2" cm="1">
        <f t="array" ref="KE18">INDEX(增益!$A$2:$Q$40,JJ18,MATCH(KE$8,增益!$B$1:$Q$1,0)+1)*$AI18</f>
        <v>0</v>
      </c>
      <c r="KG18" s="2" cm="1">
        <f t="array" ref="KG18">INDEX(增益!$A$2:$Q$40,JJ18,MATCH(KG$8,增益!$B$1:$Q$1,0)+1)*$AI18</f>
        <v>0</v>
      </c>
      <c r="KH18" s="2" cm="1">
        <f t="array" ref="KH18">INDEX(增益!$A$2:$Q$40,JJ18,MATCH(KH$8,增益!$B$1:$Q$1,0)+1)*$AI18</f>
        <v>0</v>
      </c>
      <c r="KL18" s="2" t="str" cm="1">
        <f t="array" ref="KL18">INDEX(云配队!$J23:$AC23,1,KL$1)</f>
        <v>音速蓝刺猬</v>
      </c>
      <c r="KM18" s="2">
        <f>IFERROR(MATCH(KL18,增益!$A$2:$A$40,FALSE),1)</f>
        <v>26</v>
      </c>
      <c r="KN18" s="2" cm="1">
        <f t="array" ref="KN18">INDEX(增益!$A$2:$Q$40,KM18,MATCH(KN$8,增益!$B$1:$Q$1,0)+1)*$AI18</f>
        <v>0.075</v>
      </c>
      <c r="KO18" s="2" cm="1">
        <f t="array" ref="KO18">INDEX(增益!$A$2:$Q$40,KM18,MATCH(KO$8,增益!$B$1:$Q$1,0)+1)*$AI18</f>
        <v>0</v>
      </c>
      <c r="KP18" s="2" cm="1">
        <f t="array" ref="KP18">INDEX(增益!$A$2:$Q$40,KM18,MATCH(KP$8,增益!$B$1:$Q$1,0)+1)*$AI18</f>
        <v>0</v>
      </c>
      <c r="KQ18" s="2" cm="1">
        <f t="array" ref="KQ18">INDEX(增益!$A$2:$Q$40,KM18,MATCH(KQ$8,增益!$B$1:$Q$1,0)+1)*$AI18</f>
        <v>0</v>
      </c>
      <c r="KR18" s="2" cm="1">
        <f t="array" ref="KR18">INDEX(增益!$A$2:$Q$40,KM18,MATCH(KR$8,增益!$B$1:$Q$1,0)+1)*$AI18</f>
        <v>0</v>
      </c>
      <c r="KS18" s="2" cm="1">
        <f t="array" ref="KS18">INDEX(增益!$A$2:$Q$40,KM18,MATCH(KS$8,增益!$B$1:$Q$1,0)+1)*$AI18</f>
        <v>0</v>
      </c>
      <c r="KT18" s="2" cm="1">
        <f t="array" ref="KT18">INDEX(增益!$A$2:$Q$40,KM18,MATCH(KT$8,增益!$B$1:$Q$1,0)+1)*$AI18</f>
        <v>0</v>
      </c>
      <c r="KU18" s="2" cm="1">
        <f t="array" ref="KU18">INDEX(增益!$A$2:$Q$40,KM18,MATCH(KU$8,增益!$B$1:$Q$1,0)+1)*$AI18</f>
        <v>0</v>
      </c>
      <c r="KV18" s="2" cm="1">
        <f t="array" ref="KV18">INDEX(增益!$A$2:$Q$40,KM18,MATCH(KV$8,增益!$B$1:$Q$1,0)+1)*$AI18</f>
        <v>0</v>
      </c>
      <c r="KW18" s="2" cm="1">
        <f t="array" ref="KW18">INDEX(增益!$A$2:$Q$40,KM18,MATCH(KW$8,增益!$B$1:$Q$1,0)+1)*$AI18</f>
        <v>0</v>
      </c>
      <c r="LD18" s="2" cm="1">
        <f t="array" ref="LD18">INDEX(增益!$A$2:$Q$40,KM18,MATCH(LD$8,增益!$B$1:$Q$1,0)+1)*$AI18</f>
        <v>0</v>
      </c>
      <c r="LE18" s="2" cm="1">
        <f t="array" ref="LE18">INDEX(增益!$A$2:$Q$40,KM18,MATCH(LE$8,增益!$B$1:$Q$1,0)+1)*$AI18</f>
        <v>0</v>
      </c>
      <c r="LF18" s="2" cm="1">
        <f t="array" ref="LF18">INDEX(增益!$A$2:$Q$40,KM18,MATCH(LF$8,增益!$B$1:$Q$1,0)+1)*$AI18</f>
        <v>0</v>
      </c>
      <c r="LH18" s="2" cm="1">
        <f t="array" ref="LH18">INDEX(增益!$A$2:$Q$40,KM18,MATCH(LH$8,增益!$B$1:$Q$1,0)+1)*$AI18</f>
        <v>0</v>
      </c>
      <c r="LJ18" s="2" cm="1">
        <f t="array" ref="LJ18">INDEX(增益!$A$2:$Q$40,KM18,MATCH(LJ$8,增益!$B$1:$Q$1,0)+1)*$AI18</f>
        <v>0</v>
      </c>
      <c r="LK18" s="2" cm="1">
        <f t="array" ref="LK18">INDEX(增益!$A$2:$Q$40,KM18,MATCH(LK$8,增益!$B$1:$Q$1,0)+1)*$AI18</f>
        <v>0</v>
      </c>
      <c r="LO18" s="2" t="str" cm="1">
        <f t="array" ref="LO18">INDEX(云配队!$J23:$AC23,1,LO$1)</f>
        <v>音速蓝刺猬</v>
      </c>
      <c r="LP18" s="2">
        <f>IFERROR(MATCH(LO18,增益!$A$2:$A$40,FALSE),1)</f>
        <v>26</v>
      </c>
      <c r="LQ18" s="2" cm="1">
        <f t="array" ref="LQ18">INDEX(增益!$A$2:$Q$40,LP18,MATCH(LQ$8,增益!$B$1:$Q$1,0)+1)*$AI18</f>
        <v>0.075</v>
      </c>
      <c r="LR18" s="2" cm="1">
        <f t="array" ref="LR18">INDEX(增益!$A$2:$Q$40,LP18,MATCH(LR$8,增益!$B$1:$Q$1,0)+1)*$AI18</f>
        <v>0</v>
      </c>
      <c r="LS18" s="2" cm="1">
        <f t="array" ref="LS18">INDEX(增益!$A$2:$Q$40,LP18,MATCH(LS$8,增益!$B$1:$Q$1,0)+1)*$AI18</f>
        <v>0</v>
      </c>
      <c r="LT18" s="2" cm="1">
        <f t="array" ref="LT18">INDEX(增益!$A$2:$Q$40,LP18,MATCH(LT$8,增益!$B$1:$Q$1,0)+1)*$AI18</f>
        <v>0</v>
      </c>
      <c r="LU18" s="2" cm="1">
        <f t="array" ref="LU18">INDEX(增益!$A$2:$Q$40,LP18,MATCH(LU$8,增益!$B$1:$Q$1,0)+1)*$AI18</f>
        <v>0</v>
      </c>
      <c r="LV18" s="2" cm="1">
        <f t="array" ref="LV18">INDEX(增益!$A$2:$Q$40,LP18,MATCH(LV$8,增益!$B$1:$Q$1,0)+1)*$AI18</f>
        <v>0</v>
      </c>
      <c r="LW18" s="2" cm="1">
        <f t="array" ref="LW18">INDEX(增益!$A$2:$Q$40,LP18,MATCH(LW$8,增益!$B$1:$Q$1,0)+1)*$AI18</f>
        <v>0</v>
      </c>
      <c r="LX18" s="2" cm="1">
        <f t="array" ref="LX18">INDEX(增益!$A$2:$Q$40,LP18,MATCH(LX$8,增益!$B$1:$Q$1,0)+1)*$AI18</f>
        <v>0</v>
      </c>
      <c r="LY18" s="2" cm="1">
        <f t="array" ref="LY18">INDEX(增益!$A$2:$Q$40,LP18,MATCH(LY$8,增益!$B$1:$Q$1,0)+1)*$AI18</f>
        <v>0</v>
      </c>
      <c r="LZ18" s="2" cm="1">
        <f t="array" ref="LZ18">INDEX(增益!$A$2:$Q$40,LP18,MATCH(LZ$8,增益!$B$1:$Q$1,0)+1)*$AI18</f>
        <v>0</v>
      </c>
      <c r="MG18" s="2" cm="1">
        <f t="array" ref="MG18">INDEX(增益!$A$2:$Q$40,LP18,MATCH(MG$8,增益!$B$1:$Q$1,0)+1)*$AI18</f>
        <v>0</v>
      </c>
      <c r="MH18" s="2" cm="1">
        <f t="array" ref="MH18">INDEX(增益!$A$2:$Q$40,LP18,MATCH(MH$8,增益!$B$1:$Q$1,0)+1)*$AI18</f>
        <v>0</v>
      </c>
      <c r="MI18" s="2" cm="1">
        <f t="array" ref="MI18">INDEX(增益!$A$2:$Q$40,LP18,MATCH(MI$8,增益!$B$1:$Q$1,0)+1)*$AI18</f>
        <v>0</v>
      </c>
      <c r="MK18" s="2" cm="1">
        <f t="array" ref="MK18">INDEX(增益!$A$2:$Q$40,LP18,MATCH(MK$8,增益!$B$1:$Q$1,0)+1)*$AI18</f>
        <v>0</v>
      </c>
      <c r="MM18" s="2" cm="1">
        <f t="array" ref="MM18">INDEX(增益!$A$2:$Q$40,LP18,MATCH(MM$8,增益!$B$1:$Q$1,0)+1)*$AI18</f>
        <v>0</v>
      </c>
      <c r="MN18" s="2" cm="1">
        <f t="array" ref="MN18">INDEX(增益!$A$2:$Q$40,LP18,MATCH(MN$8,增益!$B$1:$Q$1,0)+1)*$AI18</f>
        <v>0</v>
      </c>
      <c r="MR18" s="2" t="str" cm="1">
        <f t="array" ref="MR18">INDEX(云配队!$J23:$AC23,1,MR$1)</f>
        <v>音速蓝刺猬</v>
      </c>
      <c r="MS18" s="2">
        <f>IFERROR(MATCH(MR18,增益!$A$2:$A$40,FALSE),1)</f>
        <v>26</v>
      </c>
      <c r="MT18" s="2" cm="1">
        <f t="array" ref="MT18">INDEX(增益!$A$2:$Q$40,MS18,MATCH(MT$8,增益!$B$1:$Q$1,0)+1)*$AI18</f>
        <v>0.075</v>
      </c>
      <c r="MU18" s="2" cm="1">
        <f t="array" ref="MU18">INDEX(增益!$A$2:$Q$40,MS18,MATCH(MU$8,增益!$B$1:$Q$1,0)+1)*$AI18</f>
        <v>0</v>
      </c>
      <c r="MV18" s="2" cm="1">
        <f t="array" ref="MV18">INDEX(增益!$A$2:$Q$40,MS18,MATCH(MV$8,增益!$B$1:$Q$1,0)+1)*$AI18</f>
        <v>0</v>
      </c>
      <c r="MW18" s="2" cm="1">
        <f t="array" ref="MW18">INDEX(增益!$A$2:$Q$40,MS18,MATCH(MW$8,增益!$B$1:$Q$1,0)+1)*$AI18</f>
        <v>0</v>
      </c>
      <c r="MX18" s="2" cm="1">
        <f t="array" ref="MX18">INDEX(增益!$A$2:$Q$40,MS18,MATCH(MX$8,增益!$B$1:$Q$1,0)+1)*$AI18</f>
        <v>0</v>
      </c>
      <c r="MY18" s="2" cm="1">
        <f t="array" ref="MY18">INDEX(增益!$A$2:$Q$40,MS18,MATCH(MY$8,增益!$B$1:$Q$1,0)+1)*$AI18</f>
        <v>0</v>
      </c>
      <c r="MZ18" s="2" cm="1">
        <f t="array" ref="MZ18">INDEX(增益!$A$2:$Q$40,MS18,MATCH(MZ$8,增益!$B$1:$Q$1,0)+1)*$AI18</f>
        <v>0</v>
      </c>
      <c r="NA18" s="2" cm="1">
        <f t="array" ref="NA18">INDEX(增益!$A$2:$Q$40,MS18,MATCH(NA$8,增益!$B$1:$Q$1,0)+1)*$AI18</f>
        <v>0</v>
      </c>
      <c r="NB18" s="2" cm="1">
        <f t="array" ref="NB18">INDEX(增益!$A$2:$Q$40,MS18,MATCH(NB$8,增益!$B$1:$Q$1,0)+1)*$AI18</f>
        <v>0</v>
      </c>
      <c r="NC18" s="2" cm="1">
        <f t="array" ref="NC18">INDEX(增益!$A$2:$Q$40,MS18,MATCH(NC$8,增益!$B$1:$Q$1,0)+1)*$AI18</f>
        <v>0</v>
      </c>
      <c r="NJ18" s="2" cm="1">
        <f t="array" ref="NJ18">INDEX(增益!$A$2:$Q$40,MS18,MATCH(NJ$8,增益!$B$1:$Q$1,0)+1)*$AI18</f>
        <v>0</v>
      </c>
      <c r="NK18" s="2" cm="1">
        <f t="array" ref="NK18">INDEX(增益!$A$2:$Q$40,MS18,MATCH(NK$8,增益!$B$1:$Q$1,0)+1)*$AI18</f>
        <v>0</v>
      </c>
      <c r="NL18" s="2" cm="1">
        <f t="array" ref="NL18">INDEX(增益!$A$2:$Q$40,MS18,MATCH(NL$8,增益!$B$1:$Q$1,0)+1)*$AI18</f>
        <v>0</v>
      </c>
      <c r="NN18" s="2" cm="1">
        <f t="array" ref="NN18">INDEX(增益!$A$2:$Q$40,MS18,MATCH(NN$8,增益!$B$1:$Q$1,0)+1)*$AI18</f>
        <v>0</v>
      </c>
      <c r="NP18" s="2" cm="1">
        <f t="array" ref="NP18">INDEX(增益!$A$2:$Q$40,MS18,MATCH(NP$8,增益!$B$1:$Q$1,0)+1)*$AI18</f>
        <v>0</v>
      </c>
      <c r="NQ18" s="2" cm="1">
        <f t="array" ref="NQ18">INDEX(增益!$A$2:$Q$40,MS18,MATCH(NQ$8,增益!$B$1:$Q$1,0)+1)*$AI18</f>
        <v>0</v>
      </c>
      <c r="NU18" s="2" t="str" cm="1">
        <f t="array" ref="NU18">INDEX(云配队!$J23:$AC23,1,NU$1)</f>
        <v>音速蓝刺猬</v>
      </c>
      <c r="NV18" s="2">
        <f>IFERROR(MATCH(NU18,增益!$A$2:$A$40,FALSE),1)</f>
        <v>26</v>
      </c>
      <c r="NW18" s="2" cm="1">
        <f t="array" ref="NW18">INDEX(增益!$A$2:$Q$40,NV18,MATCH(NW$8,增益!$B$1:$Q$1,0)+1)*$AI18</f>
        <v>0.075</v>
      </c>
      <c r="NX18" s="2" cm="1">
        <f t="array" ref="NX18">INDEX(增益!$A$2:$Q$40,NV18,MATCH(NX$8,增益!$B$1:$Q$1,0)+1)*$AI18</f>
        <v>0</v>
      </c>
      <c r="NY18" s="2" cm="1">
        <f t="array" ref="NY18">INDEX(增益!$A$2:$Q$40,NV18,MATCH(NY$8,增益!$B$1:$Q$1,0)+1)*$AI18</f>
        <v>0</v>
      </c>
      <c r="NZ18" s="2" cm="1">
        <f t="array" ref="NZ18">INDEX(增益!$A$2:$Q$40,NV18,MATCH(NZ$8,增益!$B$1:$Q$1,0)+1)*$AI18</f>
        <v>0</v>
      </c>
      <c r="OA18" s="2" cm="1">
        <f t="array" ref="OA18">INDEX(增益!$A$2:$Q$40,NV18,MATCH(OA$8,增益!$B$1:$Q$1,0)+1)*$AI18</f>
        <v>0</v>
      </c>
      <c r="OB18" s="2" cm="1">
        <f t="array" ref="OB18">INDEX(增益!$A$2:$Q$40,NV18,MATCH(OB$8,增益!$B$1:$Q$1,0)+1)*$AI18</f>
        <v>0</v>
      </c>
      <c r="OC18" s="2" cm="1">
        <f t="array" ref="OC18">INDEX(增益!$A$2:$Q$40,NV18,MATCH(OC$8,增益!$B$1:$Q$1,0)+1)*$AI18</f>
        <v>0</v>
      </c>
      <c r="OD18" s="2" cm="1">
        <f t="array" ref="OD18">INDEX(增益!$A$2:$Q$40,NV18,MATCH(OD$8,增益!$B$1:$Q$1,0)+1)*$AI18</f>
        <v>0</v>
      </c>
      <c r="OE18" s="2" cm="1">
        <f t="array" ref="OE18">INDEX(增益!$A$2:$Q$40,NV18,MATCH(OE$8,增益!$B$1:$Q$1,0)+1)*$AI18</f>
        <v>0</v>
      </c>
      <c r="OF18" s="2" cm="1">
        <f t="array" ref="OF18">INDEX(增益!$A$2:$Q$40,NV18,MATCH(OF$8,增益!$B$1:$Q$1,0)+1)*$AI18</f>
        <v>0</v>
      </c>
      <c r="OM18" s="2" cm="1">
        <f t="array" ref="OM18">INDEX(增益!$A$2:$Q$40,NV18,MATCH(OM$8,增益!$B$1:$Q$1,0)+1)*$AI18</f>
        <v>0</v>
      </c>
      <c r="ON18" s="2" cm="1">
        <f t="array" ref="ON18">INDEX(增益!$A$2:$Q$40,NV18,MATCH(ON$8,增益!$B$1:$Q$1,0)+1)*$AI18</f>
        <v>0</v>
      </c>
      <c r="OO18" s="2" cm="1">
        <f t="array" ref="OO18">INDEX(增益!$A$2:$Q$40,NV18,MATCH(OO$8,增益!$B$1:$Q$1,0)+1)*$AI18</f>
        <v>0</v>
      </c>
      <c r="OQ18" s="2" cm="1">
        <f t="array" ref="OQ18">INDEX(增益!$A$2:$Q$40,NV18,MATCH(OQ$8,增益!$B$1:$Q$1,0)+1)*$AI18</f>
        <v>0</v>
      </c>
      <c r="OS18" s="2" cm="1">
        <f t="array" ref="OS18">INDEX(增益!$A$2:$Q$40,NV18,MATCH(OS$8,增益!$B$1:$Q$1,0)+1)*$AI18</f>
        <v>0</v>
      </c>
      <c r="OT18" s="2" cm="1">
        <f t="array" ref="OT18">INDEX(增益!$A$2:$Q$40,NV18,MATCH(OT$8,增益!$B$1:$Q$1,0)+1)*$AI18</f>
        <v>0</v>
      </c>
      <c r="OX18" s="2" t="str" cm="1">
        <f t="array" ref="OX18">INDEX(云配队!$J23:$AC23,1,OX$1)</f>
        <v>音速蓝刺猬</v>
      </c>
      <c r="OY18" s="2">
        <f>IFERROR(MATCH(OX18,增益!$A$2:$A$40,FALSE),1)</f>
        <v>26</v>
      </c>
      <c r="OZ18" s="2" cm="1">
        <f t="array" ref="OZ18">INDEX(增益!$A$2:$Q$40,OY18,MATCH(OZ$8,增益!$B$1:$Q$1,0)+1)*$AI18</f>
        <v>0.075</v>
      </c>
      <c r="PA18" s="2" cm="1">
        <f t="array" ref="PA18">INDEX(增益!$A$2:$Q$40,OY18,MATCH(PA$8,增益!$B$1:$Q$1,0)+1)*$AI18</f>
        <v>0</v>
      </c>
      <c r="PB18" s="2" cm="1">
        <f t="array" ref="PB18">INDEX(增益!$A$2:$Q$40,OY18,MATCH(PB$8,增益!$B$1:$Q$1,0)+1)*$AI18</f>
        <v>0</v>
      </c>
      <c r="PC18" s="2" cm="1">
        <f t="array" ref="PC18">INDEX(增益!$A$2:$Q$40,OY18,MATCH(PC$8,增益!$B$1:$Q$1,0)+1)*$AI18</f>
        <v>0</v>
      </c>
      <c r="PD18" s="2" cm="1">
        <f t="array" ref="PD18">INDEX(增益!$A$2:$Q$40,OY18,MATCH(PD$8,增益!$B$1:$Q$1,0)+1)*$AI18</f>
        <v>0</v>
      </c>
      <c r="PE18" s="2" cm="1">
        <f t="array" ref="PE18">INDEX(增益!$A$2:$Q$40,OY18,MATCH(PE$8,增益!$B$1:$Q$1,0)+1)*$AI18</f>
        <v>0</v>
      </c>
      <c r="PF18" s="2" cm="1">
        <f t="array" ref="PF18">INDEX(增益!$A$2:$Q$40,OY18,MATCH(PF$8,增益!$B$1:$Q$1,0)+1)*$AI18</f>
        <v>0</v>
      </c>
      <c r="PG18" s="2" cm="1">
        <f t="array" ref="PG18">INDEX(增益!$A$2:$Q$40,OY18,MATCH(PG$8,增益!$B$1:$Q$1,0)+1)*$AI18</f>
        <v>0</v>
      </c>
      <c r="PH18" s="2" cm="1">
        <f t="array" ref="PH18">INDEX(增益!$A$2:$Q$40,OY18,MATCH(PH$8,增益!$B$1:$Q$1,0)+1)*$AI18</f>
        <v>0</v>
      </c>
      <c r="PI18" s="2" cm="1">
        <f t="array" ref="PI18">INDEX(增益!$A$2:$Q$40,OY18,MATCH(PI$8,增益!$B$1:$Q$1,0)+1)*$AI18</f>
        <v>0</v>
      </c>
      <c r="PP18" s="2" cm="1">
        <f t="array" ref="PP18">INDEX(增益!$A$2:$Q$40,OY18,MATCH(PP$8,增益!$B$1:$Q$1,0)+1)*$AI18</f>
        <v>0</v>
      </c>
      <c r="PQ18" s="2" cm="1">
        <f t="array" ref="PQ18">INDEX(增益!$A$2:$Q$40,OY18,MATCH(PQ$8,增益!$B$1:$Q$1,0)+1)*$AI18</f>
        <v>0</v>
      </c>
      <c r="PR18" s="2" cm="1">
        <f t="array" ref="PR18">INDEX(增益!$A$2:$Q$40,OY18,MATCH(PR$8,增益!$B$1:$Q$1,0)+1)*$AI18</f>
        <v>0</v>
      </c>
      <c r="PT18" s="2" cm="1">
        <f t="array" ref="PT18">INDEX(增益!$A$2:$Q$40,OY18,MATCH(PT$8,增益!$B$1:$Q$1,0)+1)*$AI18</f>
        <v>0</v>
      </c>
      <c r="PV18" s="2" cm="1">
        <f t="array" ref="PV18">INDEX(增益!$A$2:$Q$40,OY18,MATCH(PV$8,增益!$B$1:$Q$1,0)+1)*$AI18</f>
        <v>0</v>
      </c>
      <c r="PW18" s="2" cm="1">
        <f t="array" ref="PW18">INDEX(增益!$A$2:$Q$40,OY18,MATCH(PW$8,增益!$B$1:$Q$1,0)+1)*$AI18</f>
        <v>0</v>
      </c>
      <c r="QA18" s="2" t="str" cm="1">
        <f t="array" ref="QA18">INDEX(云配队!$J23:$AC23,1,QA$1)</f>
        <v>音速蓝刺猬</v>
      </c>
      <c r="QB18" s="2">
        <f>IFERROR(MATCH(QA18,增益!$A$2:$A$40,FALSE),1)</f>
        <v>26</v>
      </c>
      <c r="QC18" s="2" cm="1">
        <f t="array" ref="QC18">INDEX(增益!$A$2:$Q$40,QB18,MATCH(QC$8,增益!$B$1:$Q$1,0)+1)*$AI18</f>
        <v>0.075</v>
      </c>
      <c r="QD18" s="2" cm="1">
        <f t="array" ref="QD18">INDEX(增益!$A$2:$Q$40,QB18,MATCH(QD$8,增益!$B$1:$Q$1,0)+1)*$AI18</f>
        <v>0</v>
      </c>
      <c r="QE18" s="2" cm="1">
        <f t="array" ref="QE18">INDEX(增益!$A$2:$Q$40,QB18,MATCH(QE$8,增益!$B$1:$Q$1,0)+1)*$AI18</f>
        <v>0</v>
      </c>
      <c r="QF18" s="2" cm="1">
        <f t="array" ref="QF18">INDEX(增益!$A$2:$Q$40,QB18,MATCH(QF$8,增益!$B$1:$Q$1,0)+1)*$AI18</f>
        <v>0</v>
      </c>
      <c r="QG18" s="2" cm="1">
        <f t="array" ref="QG18">INDEX(增益!$A$2:$Q$40,QB18,MATCH(QG$8,增益!$B$1:$Q$1,0)+1)*$AI18</f>
        <v>0</v>
      </c>
      <c r="QH18" s="2" cm="1">
        <f t="array" ref="QH18">INDEX(增益!$A$2:$Q$40,QB18,MATCH(QH$8,增益!$B$1:$Q$1,0)+1)*$AI18</f>
        <v>0</v>
      </c>
      <c r="QI18" s="2" cm="1">
        <f t="array" ref="QI18">INDEX(增益!$A$2:$Q$40,QB18,MATCH(QI$8,增益!$B$1:$Q$1,0)+1)*$AI18</f>
        <v>0</v>
      </c>
      <c r="QJ18" s="2" cm="1">
        <f t="array" ref="QJ18">INDEX(增益!$A$2:$Q$40,QB18,MATCH(QJ$8,增益!$B$1:$Q$1,0)+1)*$AI18</f>
        <v>0</v>
      </c>
      <c r="QK18" s="2" cm="1">
        <f t="array" ref="QK18">INDEX(增益!$A$2:$Q$40,QB18,MATCH(QK$8,增益!$B$1:$Q$1,0)+1)*$AI18</f>
        <v>0</v>
      </c>
      <c r="QL18" s="2" cm="1">
        <f t="array" ref="QL18">INDEX(增益!$A$2:$Q$40,QB18,MATCH(QL$8,增益!$B$1:$Q$1,0)+1)*$AI18</f>
        <v>0</v>
      </c>
      <c r="QS18" s="2" cm="1">
        <f t="array" ref="QS18">INDEX(增益!$A$2:$Q$40,QB18,MATCH(QS$8,增益!$B$1:$Q$1,0)+1)*$AI18</f>
        <v>0</v>
      </c>
      <c r="QT18" s="2" cm="1">
        <f t="array" ref="QT18">INDEX(增益!$A$2:$Q$40,QB18,MATCH(QT$8,增益!$B$1:$Q$1,0)+1)*$AI18</f>
        <v>0</v>
      </c>
      <c r="QU18" s="2" cm="1">
        <f t="array" ref="QU18">INDEX(增益!$A$2:$Q$40,QB18,MATCH(QU$8,增益!$B$1:$Q$1,0)+1)*$AI18</f>
        <v>0</v>
      </c>
      <c r="QW18" s="2" cm="1">
        <f t="array" ref="QW18">INDEX(增益!$A$2:$Q$40,QB18,MATCH(QW$8,增益!$B$1:$Q$1,0)+1)*$AI18</f>
        <v>0</v>
      </c>
      <c r="QY18" s="2" cm="1">
        <f t="array" ref="QY18">INDEX(增益!$A$2:$Q$40,QB18,MATCH(QY$8,增益!$B$1:$Q$1,0)+1)*$AI18</f>
        <v>0</v>
      </c>
      <c r="QZ18" s="2" cm="1">
        <f t="array" ref="QZ18">INDEX(增益!$A$2:$Q$40,QB18,MATCH(QZ$8,增益!$B$1:$Q$1,0)+1)*$AI18</f>
        <v>0</v>
      </c>
      <c r="RD18" s="2" t="str" cm="1">
        <f t="array" ref="RD18">INDEX(云配队!$J23:$AC23,1,RD$1)</f>
        <v>音速蓝刺猬</v>
      </c>
      <c r="RE18" s="2">
        <f>IFERROR(MATCH(RD18,增益!$A$2:$A$40,FALSE),1)</f>
        <v>26</v>
      </c>
      <c r="RF18" s="2" cm="1">
        <f t="array" ref="RF18">INDEX(增益!$A$2:$Q$40,RE18,MATCH(RF$8,增益!$B$1:$Q$1,0)+1)*$AI18</f>
        <v>0.075</v>
      </c>
      <c r="RG18" s="2" cm="1">
        <f t="array" ref="RG18">INDEX(增益!$A$2:$Q$40,RE18,MATCH(RG$8,增益!$B$1:$Q$1,0)+1)*$AI18</f>
        <v>0</v>
      </c>
      <c r="RH18" s="2" cm="1">
        <f t="array" ref="RH18">INDEX(增益!$A$2:$Q$40,RE18,MATCH(RH$8,增益!$B$1:$Q$1,0)+1)*$AI18</f>
        <v>0</v>
      </c>
      <c r="RI18" s="2" cm="1">
        <f t="array" ref="RI18">INDEX(增益!$A$2:$Q$40,RE18,MATCH(RI$8,增益!$B$1:$Q$1,0)+1)*$AI18</f>
        <v>0</v>
      </c>
      <c r="RJ18" s="2" cm="1">
        <f t="array" ref="RJ18">INDEX(增益!$A$2:$Q$40,RE18,MATCH(RJ$8,增益!$B$1:$Q$1,0)+1)*$AI18</f>
        <v>0</v>
      </c>
      <c r="RK18" s="2" cm="1">
        <f t="array" ref="RK18">INDEX(增益!$A$2:$Q$40,RE18,MATCH(RK$8,增益!$B$1:$Q$1,0)+1)*$AI18</f>
        <v>0</v>
      </c>
      <c r="RL18" s="2" cm="1">
        <f t="array" ref="RL18">INDEX(增益!$A$2:$Q$40,RE18,MATCH(RL$8,增益!$B$1:$Q$1,0)+1)*$AI18</f>
        <v>0</v>
      </c>
      <c r="RM18" s="2" cm="1">
        <f t="array" ref="RM18">INDEX(增益!$A$2:$Q$40,RE18,MATCH(RM$8,增益!$B$1:$Q$1,0)+1)*$AI18</f>
        <v>0</v>
      </c>
      <c r="RN18" s="2" cm="1">
        <f t="array" ref="RN18">INDEX(增益!$A$2:$Q$40,RE18,MATCH(RN$8,增益!$B$1:$Q$1,0)+1)*$AI18</f>
        <v>0</v>
      </c>
      <c r="RO18" s="2" cm="1">
        <f t="array" ref="RO18">INDEX(增益!$A$2:$Q$40,RE18,MATCH(RO$8,增益!$B$1:$Q$1,0)+1)*$AI18</f>
        <v>0</v>
      </c>
      <c r="RV18" s="2" cm="1">
        <f t="array" ref="RV18">INDEX(增益!$A$2:$Q$40,RE18,MATCH(RV$8,增益!$B$1:$Q$1,0)+1)*$AI18</f>
        <v>0</v>
      </c>
      <c r="RW18" s="2" cm="1">
        <f t="array" ref="RW18">INDEX(增益!$A$2:$Q$40,RE18,MATCH(RW$8,增益!$B$1:$Q$1,0)+1)*$AI18</f>
        <v>0</v>
      </c>
      <c r="RX18" s="2" cm="1">
        <f t="array" ref="RX18">INDEX(增益!$A$2:$Q$40,RE18,MATCH(RX$8,增益!$B$1:$Q$1,0)+1)*$AI18</f>
        <v>0</v>
      </c>
      <c r="RZ18" s="2" cm="1">
        <f t="array" ref="RZ18">INDEX(增益!$A$2:$Q$40,RE18,MATCH(RZ$8,增益!$B$1:$Q$1,0)+1)*$AI18</f>
        <v>0</v>
      </c>
      <c r="SB18" s="2" cm="1">
        <f t="array" ref="SB18">INDEX(增益!$A$2:$Q$40,RE18,MATCH(SB$8,增益!$B$1:$Q$1,0)+1)*$AI18</f>
        <v>0</v>
      </c>
      <c r="SC18" s="2" cm="1">
        <f t="array" ref="SC18">INDEX(增益!$A$2:$Q$40,RE18,MATCH(SC$8,增益!$B$1:$Q$1,0)+1)*$AI18</f>
        <v>0</v>
      </c>
      <c r="SG18" s="2" t="str" cm="1">
        <f t="array" ref="SG18">INDEX(云配队!$J23:$AC23,1,SG$1)</f>
        <v>音速蓝刺猬</v>
      </c>
      <c r="SH18" s="2">
        <f>IFERROR(MATCH(SG18,增益!$A$2:$A$40,FALSE),1)</f>
        <v>26</v>
      </c>
      <c r="SI18" s="2" cm="1">
        <f t="array" ref="SI18">INDEX(增益!$A$2:$Q$40,SH18,MATCH(SI$8,增益!$B$1:$Q$1,0)+1)*$AI18</f>
        <v>0.075</v>
      </c>
      <c r="SJ18" s="2" cm="1">
        <f t="array" ref="SJ18">INDEX(增益!$A$2:$Q$40,SH18,MATCH(SJ$8,增益!$B$1:$Q$1,0)+1)*$AI18</f>
        <v>0</v>
      </c>
      <c r="SK18" s="2" cm="1">
        <f t="array" ref="SK18">INDEX(增益!$A$2:$Q$40,SH18,MATCH(SK$8,增益!$B$1:$Q$1,0)+1)*$AI18</f>
        <v>0</v>
      </c>
      <c r="SL18" s="2" cm="1">
        <f t="array" ref="SL18">INDEX(增益!$A$2:$Q$40,SH18,MATCH(SL$8,增益!$B$1:$Q$1,0)+1)*$AI18</f>
        <v>0</v>
      </c>
      <c r="SM18" s="2" cm="1">
        <f t="array" ref="SM18">INDEX(增益!$A$2:$Q$40,SH18,MATCH(SM$8,增益!$B$1:$Q$1,0)+1)*$AI18</f>
        <v>0</v>
      </c>
      <c r="SN18" s="2" cm="1">
        <f t="array" ref="SN18">INDEX(增益!$A$2:$Q$40,SH18,MATCH(SN$8,增益!$B$1:$Q$1,0)+1)*$AI18</f>
        <v>0</v>
      </c>
      <c r="SO18" s="2" cm="1">
        <f t="array" ref="SO18">INDEX(增益!$A$2:$Q$40,SH18,MATCH(SO$8,增益!$B$1:$Q$1,0)+1)*$AI18</f>
        <v>0</v>
      </c>
      <c r="SP18" s="2" cm="1">
        <f t="array" ref="SP18">INDEX(增益!$A$2:$Q$40,SH18,MATCH(SP$8,增益!$B$1:$Q$1,0)+1)*$AI18</f>
        <v>0</v>
      </c>
      <c r="SQ18" s="2" cm="1">
        <f t="array" ref="SQ18">INDEX(增益!$A$2:$Q$40,SH18,MATCH(SQ$8,增益!$B$1:$Q$1,0)+1)*$AI18</f>
        <v>0</v>
      </c>
      <c r="SR18" s="2" cm="1">
        <f t="array" ref="SR18">INDEX(增益!$A$2:$Q$40,SH18,MATCH(SR$8,增益!$B$1:$Q$1,0)+1)*$AI18</f>
        <v>0</v>
      </c>
      <c r="SY18" s="2" cm="1">
        <f t="array" ref="SY18">INDEX(增益!$A$2:$Q$40,SH18,MATCH(SY$8,增益!$B$1:$Q$1,0)+1)*$AI18</f>
        <v>0</v>
      </c>
      <c r="SZ18" s="2" cm="1">
        <f t="array" ref="SZ18">INDEX(增益!$A$2:$Q$40,SH18,MATCH(SZ$8,增益!$B$1:$Q$1,0)+1)*$AI18</f>
        <v>0</v>
      </c>
      <c r="TA18" s="2" cm="1">
        <f t="array" ref="TA18">INDEX(增益!$A$2:$Q$40,SH18,MATCH(TA$8,增益!$B$1:$Q$1,0)+1)*$AI18</f>
        <v>0</v>
      </c>
      <c r="TC18" s="2" cm="1">
        <f t="array" ref="TC18">INDEX(增益!$A$2:$Q$40,SH18,MATCH(TC$8,增益!$B$1:$Q$1,0)+1)*$AI18</f>
        <v>0</v>
      </c>
      <c r="TE18" s="2" cm="1">
        <f t="array" ref="TE18">INDEX(增益!$A$2:$Q$40,SH18,MATCH(TE$8,增益!$B$1:$Q$1,0)+1)*$AI18</f>
        <v>0</v>
      </c>
      <c r="TF18" s="2" cm="1">
        <f t="array" ref="TF18">INDEX(增益!$A$2:$Q$40,SH18,MATCH(TF$8,增益!$B$1:$Q$1,0)+1)*$AI18</f>
        <v>0</v>
      </c>
      <c r="TJ18" s="2" t="str" cm="1">
        <f t="array" ref="TJ18">INDEX(云配队!$J23:$AC23,1,TJ$1)</f>
        <v>音速蓝刺猬</v>
      </c>
      <c r="TK18" s="2">
        <f>IFERROR(MATCH(TJ18,增益!$A$2:$A$40,FALSE),1)</f>
        <v>26</v>
      </c>
      <c r="TL18" s="2" cm="1">
        <f t="array" ref="TL18">INDEX(增益!$A$2:$Q$40,TK18,MATCH(TL$8,增益!$B$1:$Q$1,0)+1)*$AI18</f>
        <v>0.075</v>
      </c>
      <c r="TM18" s="2" cm="1">
        <f t="array" ref="TM18">INDEX(增益!$A$2:$Q$40,TK18,MATCH(TM$8,增益!$B$1:$Q$1,0)+1)*$AI18</f>
        <v>0</v>
      </c>
      <c r="TN18" s="2" cm="1">
        <f t="array" ref="TN18">INDEX(增益!$A$2:$Q$40,TK18,MATCH(TN$8,增益!$B$1:$Q$1,0)+1)*$AI18</f>
        <v>0</v>
      </c>
      <c r="TO18" s="2" cm="1">
        <f t="array" ref="TO18">INDEX(增益!$A$2:$Q$40,TK18,MATCH(TO$8,增益!$B$1:$Q$1,0)+1)*$AI18</f>
        <v>0</v>
      </c>
      <c r="TP18" s="2" cm="1">
        <f t="array" ref="TP18">INDEX(增益!$A$2:$Q$40,TK18,MATCH(TP$8,增益!$B$1:$Q$1,0)+1)*$AI18</f>
        <v>0</v>
      </c>
      <c r="TQ18" s="2" cm="1">
        <f t="array" ref="TQ18">INDEX(增益!$A$2:$Q$40,TK18,MATCH(TQ$8,增益!$B$1:$Q$1,0)+1)*$AI18</f>
        <v>0</v>
      </c>
      <c r="TR18" s="2" cm="1">
        <f t="array" ref="TR18">INDEX(增益!$A$2:$Q$40,TK18,MATCH(TR$8,增益!$B$1:$Q$1,0)+1)*$AI18</f>
        <v>0</v>
      </c>
      <c r="TS18" s="2" cm="1">
        <f t="array" ref="TS18">INDEX(增益!$A$2:$Q$40,TK18,MATCH(TS$8,增益!$B$1:$Q$1,0)+1)*$AI18</f>
        <v>0</v>
      </c>
      <c r="TT18" s="2" cm="1">
        <f t="array" ref="TT18">INDEX(增益!$A$2:$Q$40,TK18,MATCH(TT$8,增益!$B$1:$Q$1,0)+1)*$AI18</f>
        <v>0</v>
      </c>
      <c r="TU18" s="2" cm="1">
        <f t="array" ref="TU18">INDEX(增益!$A$2:$Q$40,TK18,MATCH(TU$8,增益!$B$1:$Q$1,0)+1)*$AI18</f>
        <v>0</v>
      </c>
      <c r="UB18" s="2" cm="1">
        <f t="array" ref="UB18">INDEX(增益!$A$2:$Q$40,TK18,MATCH(UB$8,增益!$B$1:$Q$1,0)+1)*$AI18</f>
        <v>0</v>
      </c>
      <c r="UC18" s="2" cm="1">
        <f t="array" ref="UC18">INDEX(增益!$A$2:$Q$40,TK18,MATCH(UC$8,增益!$B$1:$Q$1,0)+1)*$AI18</f>
        <v>0</v>
      </c>
      <c r="UD18" s="2" cm="1">
        <f t="array" ref="UD18">INDEX(增益!$A$2:$Q$40,TK18,MATCH(UD$8,增益!$B$1:$Q$1,0)+1)*$AI18</f>
        <v>0</v>
      </c>
      <c r="UF18" s="2" cm="1">
        <f t="array" ref="UF18">INDEX(增益!$A$2:$Q$40,TK18,MATCH(UF$8,增益!$B$1:$Q$1,0)+1)*$AI18</f>
        <v>0</v>
      </c>
      <c r="UH18" s="2" cm="1">
        <f t="array" ref="UH18">INDEX(增益!$A$2:$Q$40,TK18,MATCH(UH$8,增益!$B$1:$Q$1,0)+1)*$AI18</f>
        <v>0</v>
      </c>
      <c r="UI18" s="2" cm="1">
        <f t="array" ref="UI18">INDEX(增益!$A$2:$Q$40,TK18,MATCH(UI$8,增益!$B$1:$Q$1,0)+1)*$AI18</f>
        <v>0</v>
      </c>
      <c r="UM18" s="2" t="str" cm="1">
        <f t="array" ref="UM18">INDEX(云配队!$J23:$AC23,1,UM$1)</f>
        <v>音速蓝刺猬</v>
      </c>
      <c r="UN18" s="2">
        <f>IFERROR(MATCH(UM18,增益!$A$2:$A$40,FALSE),1)</f>
        <v>26</v>
      </c>
      <c r="UO18" s="2" cm="1">
        <f t="array" ref="UO18">INDEX(增益!$A$2:$Q$40,UN18,MATCH(UO$8,增益!$B$1:$Q$1,0)+1)*$AI18</f>
        <v>0.075</v>
      </c>
      <c r="UP18" s="2" cm="1">
        <f t="array" ref="UP18">INDEX(增益!$A$2:$Q$40,UN18,MATCH(UP$8,增益!$B$1:$Q$1,0)+1)*$AI18</f>
        <v>0</v>
      </c>
      <c r="UQ18" s="2" cm="1">
        <f t="array" ref="UQ18">INDEX(增益!$A$2:$Q$40,UN18,MATCH(UQ$8,增益!$B$1:$Q$1,0)+1)*$AI18</f>
        <v>0</v>
      </c>
      <c r="UR18" s="2" cm="1">
        <f t="array" ref="UR18">INDEX(增益!$A$2:$Q$40,UN18,MATCH(UR$8,增益!$B$1:$Q$1,0)+1)*$AI18</f>
        <v>0</v>
      </c>
      <c r="US18" s="2" cm="1">
        <f t="array" ref="US18">INDEX(增益!$A$2:$Q$40,UN18,MATCH(US$8,增益!$B$1:$Q$1,0)+1)*$AI18</f>
        <v>0</v>
      </c>
      <c r="UT18" s="2" cm="1">
        <f t="array" ref="UT18">INDEX(增益!$A$2:$Q$40,UN18,MATCH(UT$8,增益!$B$1:$Q$1,0)+1)*$AI18</f>
        <v>0</v>
      </c>
      <c r="UU18" s="2" cm="1">
        <f t="array" ref="UU18">INDEX(增益!$A$2:$Q$40,UN18,MATCH(UU$8,增益!$B$1:$Q$1,0)+1)*$AI18</f>
        <v>0</v>
      </c>
      <c r="UV18" s="2" cm="1">
        <f t="array" ref="UV18">INDEX(增益!$A$2:$Q$40,UN18,MATCH(UV$8,增益!$B$1:$Q$1,0)+1)*$AI18</f>
        <v>0</v>
      </c>
      <c r="UW18" s="2" cm="1">
        <f t="array" ref="UW18">INDEX(增益!$A$2:$Q$40,UN18,MATCH(UW$8,增益!$B$1:$Q$1,0)+1)*$AI18</f>
        <v>0</v>
      </c>
      <c r="UX18" s="2" cm="1">
        <f t="array" ref="UX18">INDEX(增益!$A$2:$Q$40,UN18,MATCH(UX$8,增益!$B$1:$Q$1,0)+1)*$AI18</f>
        <v>0</v>
      </c>
      <c r="VE18" s="2" cm="1">
        <f t="array" ref="VE18">INDEX(增益!$A$2:$Q$40,UN18,MATCH(VE$8,增益!$B$1:$Q$1,0)+1)*$AI18</f>
        <v>0</v>
      </c>
      <c r="VF18" s="2" cm="1">
        <f t="array" ref="VF18">INDEX(增益!$A$2:$Q$40,UN18,MATCH(VF$8,增益!$B$1:$Q$1,0)+1)*$AI18</f>
        <v>0</v>
      </c>
      <c r="VG18" s="2" cm="1">
        <f t="array" ref="VG18">INDEX(增益!$A$2:$Q$40,UN18,MATCH(VG$8,增益!$B$1:$Q$1,0)+1)*$AI18</f>
        <v>0</v>
      </c>
      <c r="VI18" s="2" cm="1">
        <f t="array" ref="VI18">INDEX(增益!$A$2:$Q$40,UN18,MATCH(VI$8,增益!$B$1:$Q$1,0)+1)*$AI18</f>
        <v>0</v>
      </c>
      <c r="VK18" s="2" cm="1">
        <f t="array" ref="VK18">INDEX(增益!$A$2:$Q$40,UN18,MATCH(VK$8,增益!$B$1:$Q$1,0)+1)*$AI18</f>
        <v>0</v>
      </c>
      <c r="VL18" s="2" cm="1">
        <f t="array" ref="VL18">INDEX(增益!$A$2:$Q$40,UN18,MATCH(VL$8,增益!$B$1:$Q$1,0)+1)*$AI18</f>
        <v>0</v>
      </c>
      <c r="VP18" s="2" t="str" cm="1">
        <f t="array" ref="VP18">INDEX(云配队!$J23:$AC23,1,VP$1)</f>
        <v>音速蓝刺猬</v>
      </c>
      <c r="VQ18" s="2">
        <f>IFERROR(MATCH(VP18,增益!$A$2:$A$40,FALSE),1)</f>
        <v>26</v>
      </c>
      <c r="VR18" s="2" cm="1">
        <f t="array" ref="VR18">INDEX(增益!$A$2:$Q$40,VQ18,MATCH(VR$8,增益!$B$1:$Q$1,0)+1)*$AI18</f>
        <v>0.075</v>
      </c>
      <c r="VS18" s="2" cm="1">
        <f t="array" ref="VS18">INDEX(增益!$A$2:$Q$40,VQ18,MATCH(VS$8,增益!$B$1:$Q$1,0)+1)*$AI18</f>
        <v>0</v>
      </c>
      <c r="VT18" s="2" cm="1">
        <f t="array" ref="VT18">INDEX(增益!$A$2:$Q$40,VQ18,MATCH(VT$8,增益!$B$1:$Q$1,0)+1)*$AI18</f>
        <v>0</v>
      </c>
      <c r="VU18" s="2" cm="1">
        <f t="array" ref="VU18">INDEX(增益!$A$2:$Q$40,VQ18,MATCH(VU$8,增益!$B$1:$Q$1,0)+1)*$AI18</f>
        <v>0</v>
      </c>
      <c r="VV18" s="2" cm="1">
        <f t="array" ref="VV18">INDEX(增益!$A$2:$Q$40,VQ18,MATCH(VV$8,增益!$B$1:$Q$1,0)+1)*$AI18</f>
        <v>0</v>
      </c>
      <c r="VW18" s="2" cm="1">
        <f t="array" ref="VW18">INDEX(增益!$A$2:$Q$40,VQ18,MATCH(VW$8,增益!$B$1:$Q$1,0)+1)*$AI18</f>
        <v>0</v>
      </c>
      <c r="VX18" s="2" cm="1">
        <f t="array" ref="VX18">INDEX(增益!$A$2:$Q$40,VQ18,MATCH(VX$8,增益!$B$1:$Q$1,0)+1)*$AI18</f>
        <v>0</v>
      </c>
      <c r="VY18" s="2" cm="1">
        <f t="array" ref="VY18">INDEX(增益!$A$2:$Q$40,VQ18,MATCH(VY$8,增益!$B$1:$Q$1,0)+1)*$AI18</f>
        <v>0</v>
      </c>
      <c r="VZ18" s="2" cm="1">
        <f t="array" ref="VZ18">INDEX(增益!$A$2:$Q$40,VQ18,MATCH(VZ$8,增益!$B$1:$Q$1,0)+1)*$AI18</f>
        <v>0</v>
      </c>
      <c r="WA18" s="2" cm="1">
        <f t="array" ref="WA18">INDEX(增益!$A$2:$Q$40,VQ18,MATCH(WA$8,增益!$B$1:$Q$1,0)+1)*$AI18</f>
        <v>0</v>
      </c>
      <c r="WH18" s="2" cm="1">
        <f t="array" ref="WH18">INDEX(增益!$A$2:$Q$40,VQ18,MATCH(WH$8,增益!$B$1:$Q$1,0)+1)*$AI18</f>
        <v>0</v>
      </c>
      <c r="WI18" s="2" cm="1">
        <f t="array" ref="WI18">INDEX(增益!$A$2:$Q$40,VQ18,MATCH(WI$8,增益!$B$1:$Q$1,0)+1)*$AI18</f>
        <v>0</v>
      </c>
      <c r="WJ18" s="2" cm="1">
        <f t="array" ref="WJ18">INDEX(增益!$A$2:$Q$40,VQ18,MATCH(WJ$8,增益!$B$1:$Q$1,0)+1)*$AI18</f>
        <v>0</v>
      </c>
      <c r="WL18" s="2" cm="1">
        <f t="array" ref="WL18">INDEX(增益!$A$2:$Q$40,VQ18,MATCH(WL$8,增益!$B$1:$Q$1,0)+1)*$AI18</f>
        <v>0</v>
      </c>
      <c r="WN18" s="2" cm="1">
        <f t="array" ref="WN18">INDEX(增益!$A$2:$Q$40,VQ18,MATCH(WN$8,增益!$B$1:$Q$1,0)+1)*$AI18</f>
        <v>0</v>
      </c>
      <c r="WO18" s="2" cm="1">
        <f t="array" ref="WO18">INDEX(增益!$A$2:$Q$40,VQ18,MATCH(WO$8,增益!$B$1:$Q$1,0)+1)*$AI18</f>
        <v>0</v>
      </c>
    </row>
    <row r="19" spans="35:616">
      <c r="AI19" s="2">
        <f>IF(云配队!H24&gt;0,云配队!H24,1)</f>
        <v>1</v>
      </c>
      <c r="AK19" s="2" cm="1">
        <f t="array" ref="AK19">INDEX(云配队!$J24:$AC24,1,AK$1)</f>
        <v>0</v>
      </c>
      <c r="AL19" s="2">
        <f>IFERROR(MATCH(AK19,增益!$A$2:$A$40,FALSE),1)</f>
        <v>1</v>
      </c>
      <c r="AM19" s="2" cm="1">
        <f t="array" ref="AM19">INDEX(增益!$A$2:$Q$40,AL19,MATCH(AM$8,增益!$B$1:$Q$1,0)+1)*$AI19</f>
        <v>0</v>
      </c>
      <c r="AN19" s="2" cm="1">
        <f t="array" ref="AN19">INDEX(增益!$A$2:$Q$40,AL19,MATCH(AN$8,增益!$B$1:$Q$1,0)+1)*$AI19</f>
        <v>0</v>
      </c>
      <c r="AO19" s="2" cm="1">
        <f t="array" ref="AO19">INDEX(增益!$A$2:$Q$40,AL19,MATCH(AO$8,增益!$B$1:$Q$1,0)+1)*$AI19</f>
        <v>0</v>
      </c>
      <c r="AP19" s="2" cm="1">
        <f t="array" ref="AP19">INDEX(增益!$A$2:$Q$40,AL19,MATCH(AP$8,增益!$B$1:$Q$1,0)+1)*$AI19</f>
        <v>0</v>
      </c>
      <c r="AQ19" s="2" cm="1">
        <f t="array" ref="AQ19">INDEX(增益!$A$2:$Q$40,AL19,MATCH(AQ$8,增益!$B$1:$Q$1,0)+1)*$AI19</f>
        <v>0</v>
      </c>
      <c r="AR19" s="2" cm="1">
        <f t="array" ref="AR19">INDEX(增益!$A$2:$Q$40,AL19,MATCH(AR$8,增益!$B$1:$Q$1,0)+1)*$AI19</f>
        <v>0</v>
      </c>
      <c r="AS19" s="2" cm="1">
        <f t="array" ref="AS19">INDEX(增益!$A$2:$Q$40,AL19,MATCH(AS$8,增益!$B$1:$Q$1,0)+1)*$AI19</f>
        <v>0</v>
      </c>
      <c r="AT19" s="2" cm="1">
        <f t="array" ref="AT19">INDEX(增益!$A$2:$Q$40,AL19,MATCH(AT$8,增益!$B$1:$Q$1,0)+1)*$AI19</f>
        <v>0</v>
      </c>
      <c r="AU19" s="2" cm="1">
        <f t="array" ref="AU19">INDEX(增益!$A$2:$Q$40,AL19,MATCH(AU$8,增益!$B$1:$Q$1,0)+1)*$AI19</f>
        <v>0</v>
      </c>
      <c r="AV19" s="2" cm="1">
        <f t="array" ref="AV19">INDEX(增益!$A$2:$Q$40,AL19,MATCH(AV$8,增益!$B$1:$Q$1,0)+1)*$AI19</f>
        <v>0</v>
      </c>
      <c r="BC19" s="2" cm="1">
        <f t="array" ref="BC19">INDEX(增益!$A$2:$Q$40,AL19,MATCH(BC$8,增益!$B$1:$Q$1,0)+1)*$AI19</f>
        <v>0</v>
      </c>
      <c r="BD19" s="2" cm="1">
        <f t="array" ref="BD19">INDEX(增益!$A$2:$Q$40,AL19,MATCH(BD$8,增益!$B$1:$Q$1,0)+1)*$AI19</f>
        <v>0</v>
      </c>
      <c r="BE19" s="2" cm="1">
        <f t="array" ref="BE19">INDEX(增益!$A$2:$Q$40,AL19,MATCH(BE$8,增益!$B$1:$Q$1,0)+1)*$AI19</f>
        <v>0</v>
      </c>
      <c r="BG19" s="2" cm="1">
        <f t="array" ref="BG19">INDEX(增益!$A$2:$Q$40,AL19,MATCH(BG$8,增益!$B$1:$Q$1,0)+1)*$AI19</f>
        <v>0</v>
      </c>
      <c r="BI19" s="2" cm="1">
        <f t="array" ref="BI19">INDEX(增益!$A$2:$Q$40,AL19,MATCH(BI$8,增益!$B$1:$Q$1,0)+1)*$AI19</f>
        <v>0</v>
      </c>
      <c r="BJ19" s="2" cm="1">
        <f t="array" ref="BJ19">INDEX(增益!$A$2:$Q$40,AL19,MATCH(BJ$8,增益!$B$1:$Q$1,0)+1)*$AI19</f>
        <v>0</v>
      </c>
      <c r="BN19" s="2" t="str" cm="1">
        <f t="array" ref="BN19">INDEX(云配队!$J24:$AC24,1,BN$1)</f>
        <v>光套减防</v>
      </c>
      <c r="BO19" s="2">
        <f>IFERROR(MATCH(BN19,增益!$A$2:$A$40,FALSE),1)</f>
        <v>23</v>
      </c>
      <c r="BP19" s="2" cm="1">
        <f t="array" ref="BP19">INDEX(增益!$A$2:$Q$40,BO19,MATCH(BP$8,增益!$B$1:$Q$1,0)+1)*$AI19</f>
        <v>0</v>
      </c>
      <c r="BQ19" s="2" cm="1">
        <f t="array" ref="BQ19">INDEX(增益!$A$2:$Q$40,BO19,MATCH(BQ$8,增益!$B$1:$Q$1,0)+1)*$AI19</f>
        <v>0</v>
      </c>
      <c r="BR19" s="2" cm="1">
        <f t="array" ref="BR19">INDEX(增益!$A$2:$Q$40,BO19,MATCH(BR$8,增益!$B$1:$Q$1,0)+1)*$AI19</f>
        <v>0</v>
      </c>
      <c r="BS19" s="2" cm="1">
        <f t="array" ref="BS19">INDEX(增益!$A$2:$Q$40,BO19,MATCH(BS$8,增益!$B$1:$Q$1,0)+1)*$AI19</f>
        <v>0</v>
      </c>
      <c r="BT19" s="2" cm="1">
        <f t="array" ref="BT19">INDEX(增益!$A$2:$Q$40,BO19,MATCH(BT$8,增益!$B$1:$Q$1,0)+1)*$AI19</f>
        <v>0</v>
      </c>
      <c r="BU19" s="2" cm="1">
        <f t="array" ref="BU19">INDEX(增益!$A$2:$Q$40,BO19,MATCH(BU$8,增益!$B$1:$Q$1,0)+1)*$AI19</f>
        <v>0</v>
      </c>
      <c r="BV19" s="2" cm="1">
        <f t="array" ref="BV19">INDEX(增益!$A$2:$Q$40,BO19,MATCH(BV$8,增益!$B$1:$Q$1,0)+1)*$AI19</f>
        <v>0</v>
      </c>
      <c r="BW19" s="2" cm="1">
        <f t="array" ref="BW19">INDEX(增益!$A$2:$Q$40,BO19,MATCH(BW$8,增益!$B$1:$Q$1,0)+1)*$AI19</f>
        <v>0</v>
      </c>
      <c r="BX19" s="2" cm="1">
        <f t="array" ref="BX19">INDEX(增益!$A$2:$Q$40,BO19,MATCH(BX$8,增益!$B$1:$Q$1,0)+1)*$AI19</f>
        <v>0</v>
      </c>
      <c r="BY19" s="2" cm="1">
        <f t="array" ref="BY19">INDEX(增益!$A$2:$Q$40,BO19,MATCH(BY$8,增益!$B$1:$Q$1,0)+1)*$AI19</f>
        <v>0</v>
      </c>
      <c r="CF19" s="2" cm="1">
        <f t="array" ref="CF19">INDEX(增益!$A$2:$Q$40,BO19,MATCH(CF$8,增益!$B$1:$Q$1,0)+1)*$AI19</f>
        <v>0</v>
      </c>
      <c r="CG19" s="2" cm="1">
        <f t="array" ref="CG19">INDEX(增益!$A$2:$Q$40,BO19,MATCH(CG$8,增益!$B$1:$Q$1,0)+1)*$AI19</f>
        <v>0</v>
      </c>
      <c r="CH19" s="2" cm="1">
        <f t="array" ref="CH19">INDEX(增益!$A$2:$Q$40,BO19,MATCH(CH$8,增益!$B$1:$Q$1,0)+1)*$AI19</f>
        <v>0</v>
      </c>
      <c r="CJ19" s="2" cm="1">
        <f t="array" ref="CJ19">INDEX(增益!$A$2:$Q$40,BO19,MATCH(CJ$8,增益!$B$1:$Q$1,0)+1)*$AI19</f>
        <v>0</v>
      </c>
      <c r="CL19" s="2" cm="1">
        <f t="array" ref="CL19">INDEX(增益!$A$2:$Q$40,BO19,MATCH(CL$8,增益!$B$1:$Q$1,0)+1)*$AI19</f>
        <v>0.25</v>
      </c>
      <c r="CM19" s="2" cm="1">
        <f t="array" ref="CM19">INDEX(增益!$A$2:$Q$40,BO19,MATCH(CM$8,增益!$B$1:$Q$1,0)+1)*$AI19</f>
        <v>0</v>
      </c>
      <c r="CQ19" s="2" cm="1">
        <f t="array" ref="CQ19">INDEX(云配队!$J24:$AC24,1,CQ$1)</f>
        <v>0</v>
      </c>
      <c r="CR19" s="2">
        <f>IFERROR(MATCH(CQ19,增益!$A$2:$A$40,FALSE),1)</f>
        <v>1</v>
      </c>
      <c r="CS19" s="2" cm="1">
        <f t="array" ref="CS19">INDEX(增益!$A$2:$Q$40,CR19,MATCH(CS$8,增益!$B$1:$Q$1,0)+1)*$AI19</f>
        <v>0</v>
      </c>
      <c r="CT19" s="2" cm="1">
        <f t="array" ref="CT19">INDEX(增益!$A$2:$Q$40,CR19,MATCH(CT$8,增益!$B$1:$Q$1,0)+1)*$AI19</f>
        <v>0</v>
      </c>
      <c r="CU19" s="2" cm="1">
        <f t="array" ref="CU19">INDEX(增益!$A$2:$Q$40,CR19,MATCH(CU$8,增益!$B$1:$Q$1,0)+1)*$AI19</f>
        <v>0</v>
      </c>
      <c r="CV19" s="2" cm="1">
        <f t="array" ref="CV19">INDEX(增益!$A$2:$Q$40,CR19,MATCH(CV$8,增益!$B$1:$Q$1,0)+1)*$AI19</f>
        <v>0</v>
      </c>
      <c r="CW19" s="2" cm="1">
        <f t="array" ref="CW19">INDEX(增益!$A$2:$Q$40,CR19,MATCH(CW$8,增益!$B$1:$Q$1,0)+1)*$AI19</f>
        <v>0</v>
      </c>
      <c r="CX19" s="2" cm="1">
        <f t="array" ref="CX19">INDEX(增益!$A$2:$Q$40,CR19,MATCH(CX$8,增益!$B$1:$Q$1,0)+1)*$AI19</f>
        <v>0</v>
      </c>
      <c r="CY19" s="2" cm="1">
        <f t="array" ref="CY19">INDEX(增益!$A$2:$Q$40,CR19,MATCH(CY$8,增益!$B$1:$Q$1,0)+1)*$AI19</f>
        <v>0</v>
      </c>
      <c r="CZ19" s="2" cm="1">
        <f t="array" ref="CZ19">INDEX(增益!$A$2:$Q$40,CR19,MATCH(CZ$8,增益!$B$1:$Q$1,0)+1)*$AI19</f>
        <v>0</v>
      </c>
      <c r="DA19" s="2" cm="1">
        <f t="array" ref="DA19">INDEX(增益!$A$2:$Q$40,CR19,MATCH(DA$8,增益!$B$1:$Q$1,0)+1)*$AI19</f>
        <v>0</v>
      </c>
      <c r="DB19" s="2" cm="1">
        <f t="array" ref="DB19">INDEX(增益!$A$2:$Q$40,CR19,MATCH(DB$8,增益!$B$1:$Q$1,0)+1)*$AI19</f>
        <v>0</v>
      </c>
      <c r="DI19" s="2" cm="1">
        <f t="array" ref="DI19">INDEX(增益!$A$2:$Q$40,CR19,MATCH(DI$8,增益!$B$1:$Q$1,0)+1)*$AI19</f>
        <v>0</v>
      </c>
      <c r="DJ19" s="2" cm="1">
        <f t="array" ref="DJ19">INDEX(增益!$A$2:$Q$40,CR19,MATCH(DJ$8,增益!$B$1:$Q$1,0)+1)*$AI19</f>
        <v>0</v>
      </c>
      <c r="DK19" s="2" cm="1">
        <f t="array" ref="DK19">INDEX(增益!$A$2:$Q$40,CR19,MATCH(DK$8,增益!$B$1:$Q$1,0)+1)*$AI19</f>
        <v>0</v>
      </c>
      <c r="DM19" s="2" cm="1">
        <f t="array" ref="DM19">INDEX(增益!$A$2:$Q$40,CR19,MATCH(DM$8,增益!$B$1:$Q$1,0)+1)*$AI19</f>
        <v>0</v>
      </c>
      <c r="DO19" s="2" cm="1">
        <f t="array" ref="DO19">INDEX(增益!$A$2:$Q$40,CR19,MATCH(DO$8,增益!$B$1:$Q$1,0)+1)*$AI19</f>
        <v>0</v>
      </c>
      <c r="DP19" s="2" cm="1">
        <f t="array" ref="DP19">INDEX(增益!$A$2:$Q$40,CR19,MATCH(DP$8,增益!$B$1:$Q$1,0)+1)*$AI19</f>
        <v>0</v>
      </c>
      <c r="DT19" s="2" cm="1">
        <f t="array" ref="DT19">INDEX(云配队!$J24:$AC24,1,DT$1)</f>
        <v>0</v>
      </c>
      <c r="DU19" s="2">
        <f>IFERROR(MATCH(DT19,增益!$A$2:$A$40,FALSE),1)</f>
        <v>1</v>
      </c>
      <c r="DV19" s="2" cm="1">
        <f t="array" ref="DV19">INDEX(增益!$A$2:$Q$40,DU19,MATCH(DV$8,增益!$B$1:$Q$1,0)+1)*$AI19</f>
        <v>0</v>
      </c>
      <c r="DW19" s="2" cm="1">
        <f t="array" ref="DW19">INDEX(增益!$A$2:$Q$40,DU19,MATCH(DW$8,增益!$B$1:$Q$1,0)+1)*$AI19</f>
        <v>0</v>
      </c>
      <c r="DX19" s="2" cm="1">
        <f t="array" ref="DX19">INDEX(增益!$A$2:$Q$40,DU19,MATCH(DX$8,增益!$B$1:$Q$1,0)+1)*$AI19</f>
        <v>0</v>
      </c>
      <c r="DY19" s="2" cm="1">
        <f t="array" ref="DY19">INDEX(增益!$A$2:$Q$40,DU19,MATCH(DY$8,增益!$B$1:$Q$1,0)+1)*$AI19</f>
        <v>0</v>
      </c>
      <c r="DZ19" s="2" cm="1">
        <f t="array" ref="DZ19">INDEX(增益!$A$2:$Q$40,DU19,MATCH(DZ$8,增益!$B$1:$Q$1,0)+1)*$AI19</f>
        <v>0</v>
      </c>
      <c r="EA19" s="2" cm="1">
        <f t="array" ref="EA19">INDEX(增益!$A$2:$Q$40,DU19,MATCH(EA$8,增益!$B$1:$Q$1,0)+1)*$AI19</f>
        <v>0</v>
      </c>
      <c r="EB19" s="2" cm="1">
        <f t="array" ref="EB19">INDEX(增益!$A$2:$Q$40,DU19,MATCH(EB$8,增益!$B$1:$Q$1,0)+1)*$AI19</f>
        <v>0</v>
      </c>
      <c r="EC19" s="2" cm="1">
        <f t="array" ref="EC19">INDEX(增益!$A$2:$Q$40,DU19,MATCH(EC$8,增益!$B$1:$Q$1,0)+1)*$AI19</f>
        <v>0</v>
      </c>
      <c r="ED19" s="2" cm="1">
        <f t="array" ref="ED19">INDEX(增益!$A$2:$Q$40,DU19,MATCH(ED$8,增益!$B$1:$Q$1,0)+1)*$AI19</f>
        <v>0</v>
      </c>
      <c r="EE19" s="2" cm="1">
        <f t="array" ref="EE19">INDEX(增益!$A$2:$Q$40,DU19,MATCH(EE$8,增益!$B$1:$Q$1,0)+1)*$AI19</f>
        <v>0</v>
      </c>
      <c r="EL19" s="2" cm="1">
        <f t="array" ref="EL19">INDEX(增益!$A$2:$Q$40,DU19,MATCH(EL$8,增益!$B$1:$Q$1,0)+1)*$AI19</f>
        <v>0</v>
      </c>
      <c r="EM19" s="2" cm="1">
        <f t="array" ref="EM19">INDEX(增益!$A$2:$Q$40,DU19,MATCH(EM$8,增益!$B$1:$Q$1,0)+1)*$AI19</f>
        <v>0</v>
      </c>
      <c r="EN19" s="2" cm="1">
        <f t="array" ref="EN19">INDEX(增益!$A$2:$Q$40,DU19,MATCH(EN$8,增益!$B$1:$Q$1,0)+1)*$AI19</f>
        <v>0</v>
      </c>
      <c r="EP19" s="2" cm="1">
        <f t="array" ref="EP19">INDEX(增益!$A$2:$Q$40,DU19,MATCH(EP$8,增益!$B$1:$Q$1,0)+1)*$AI19</f>
        <v>0</v>
      </c>
      <c r="ER19" s="2" cm="1">
        <f t="array" ref="ER19">INDEX(增益!$A$2:$Q$40,DU19,MATCH(ER$8,增益!$B$1:$Q$1,0)+1)*$AI19</f>
        <v>0</v>
      </c>
      <c r="ES19" s="2" cm="1">
        <f t="array" ref="ES19">INDEX(增益!$A$2:$Q$40,DU19,MATCH(ES$8,增益!$B$1:$Q$1,0)+1)*$AI19</f>
        <v>0</v>
      </c>
      <c r="EW19" s="2" cm="1">
        <f t="array" ref="EW19">INDEX(云配队!$J24:$AC24,1,EW$1)</f>
        <v>0</v>
      </c>
      <c r="EX19" s="2">
        <f>IFERROR(MATCH(EW19,增益!$A$2:$A$40,FALSE),1)</f>
        <v>1</v>
      </c>
      <c r="EY19" s="2" cm="1">
        <f t="array" ref="EY19">INDEX(增益!$A$2:$Q$40,EX19,MATCH(EY$8,增益!$B$1:$Q$1,0)+1)*$AI19</f>
        <v>0</v>
      </c>
      <c r="EZ19" s="2" cm="1">
        <f t="array" ref="EZ19">INDEX(增益!$A$2:$Q$40,EX19,MATCH(EZ$8,增益!$B$1:$Q$1,0)+1)*$AI19</f>
        <v>0</v>
      </c>
      <c r="FA19" s="2" cm="1">
        <f t="array" ref="FA19">INDEX(增益!$A$2:$Q$40,EX19,MATCH(FA$8,增益!$B$1:$Q$1,0)+1)*$AI19</f>
        <v>0</v>
      </c>
      <c r="FB19" s="2" cm="1">
        <f t="array" ref="FB19">INDEX(增益!$A$2:$Q$40,EX19,MATCH(FB$8,增益!$B$1:$Q$1,0)+1)*$AI19</f>
        <v>0</v>
      </c>
      <c r="FC19" s="2" cm="1">
        <f t="array" ref="FC19">INDEX(增益!$A$2:$Q$40,EX19,MATCH(FC$8,增益!$B$1:$Q$1,0)+1)*$AI19</f>
        <v>0</v>
      </c>
      <c r="FD19" s="2" cm="1">
        <f t="array" ref="FD19">INDEX(增益!$A$2:$Q$40,EX19,MATCH(FD$8,增益!$B$1:$Q$1,0)+1)*$AI19</f>
        <v>0</v>
      </c>
      <c r="FE19" s="2" cm="1">
        <f t="array" ref="FE19">INDEX(增益!$A$2:$Q$40,EX19,MATCH(FE$8,增益!$B$1:$Q$1,0)+1)*$AI19</f>
        <v>0</v>
      </c>
      <c r="FF19" s="2" cm="1">
        <f t="array" ref="FF19">INDEX(增益!$A$2:$Q$40,EX19,MATCH(FF$8,增益!$B$1:$Q$1,0)+1)*$AI19</f>
        <v>0</v>
      </c>
      <c r="FG19" s="2" cm="1">
        <f t="array" ref="FG19">INDEX(增益!$A$2:$Q$40,EX19,MATCH(FG$8,增益!$B$1:$Q$1,0)+1)*$AI19</f>
        <v>0</v>
      </c>
      <c r="FH19" s="2" cm="1">
        <f t="array" ref="FH19">INDEX(增益!$A$2:$Q$40,EX19,MATCH(FH$8,增益!$B$1:$Q$1,0)+1)*$AI19</f>
        <v>0</v>
      </c>
      <c r="FO19" s="2" cm="1">
        <f t="array" ref="FO19">INDEX(增益!$A$2:$Q$40,EX19,MATCH(FO$8,增益!$B$1:$Q$1,0)+1)*$AI19</f>
        <v>0</v>
      </c>
      <c r="FP19" s="2" cm="1">
        <f t="array" ref="FP19">INDEX(增益!$A$2:$Q$40,EX19,MATCH(FP$8,增益!$B$1:$Q$1,0)+1)*$AI19</f>
        <v>0</v>
      </c>
      <c r="FQ19" s="2" cm="1">
        <f t="array" ref="FQ19">INDEX(增益!$A$2:$Q$40,EX19,MATCH(FQ$8,增益!$B$1:$Q$1,0)+1)*$AI19</f>
        <v>0</v>
      </c>
      <c r="FS19" s="2" cm="1">
        <f t="array" ref="FS19">INDEX(增益!$A$2:$Q$40,EX19,MATCH(FS$8,增益!$B$1:$Q$1,0)+1)*$AI19</f>
        <v>0</v>
      </c>
      <c r="FU19" s="2" cm="1">
        <f t="array" ref="FU19">INDEX(增益!$A$2:$Q$40,EX19,MATCH(FU$8,增益!$B$1:$Q$1,0)+1)*$AI19</f>
        <v>0</v>
      </c>
      <c r="FV19" s="2" cm="1">
        <f t="array" ref="FV19">INDEX(增益!$A$2:$Q$40,EX19,MATCH(FV$8,增益!$B$1:$Q$1,0)+1)*$AI19</f>
        <v>0</v>
      </c>
      <c r="FZ19" s="2" cm="1">
        <f t="array" ref="FZ19">INDEX(云配队!$J24:$AC24,1,FZ$1)</f>
        <v>0</v>
      </c>
      <c r="GA19" s="2">
        <f>IFERROR(MATCH(FZ19,增益!$A$2:$A$40,FALSE),1)</f>
        <v>1</v>
      </c>
      <c r="GB19" s="2" cm="1">
        <f t="array" ref="GB19">INDEX(增益!$A$2:$Q$40,GA19,MATCH(GB$8,增益!$B$1:$Q$1,0)+1)*$AI19</f>
        <v>0</v>
      </c>
      <c r="GC19" s="2" cm="1">
        <f t="array" ref="GC19">INDEX(增益!$A$2:$Q$40,GA19,MATCH(GC$8,增益!$B$1:$Q$1,0)+1)*$AI19</f>
        <v>0</v>
      </c>
      <c r="GD19" s="2" cm="1">
        <f t="array" ref="GD19">INDEX(增益!$A$2:$Q$40,GA19,MATCH(GD$8,增益!$B$1:$Q$1,0)+1)*$AI19</f>
        <v>0</v>
      </c>
      <c r="GE19" s="2" cm="1">
        <f t="array" ref="GE19">INDEX(增益!$A$2:$Q$40,GA19,MATCH(GE$8,增益!$B$1:$Q$1,0)+1)*$AI19</f>
        <v>0</v>
      </c>
      <c r="GF19" s="2" cm="1">
        <f t="array" ref="GF19">INDEX(增益!$A$2:$Q$40,GA19,MATCH(GF$8,增益!$B$1:$Q$1,0)+1)*$AI19</f>
        <v>0</v>
      </c>
      <c r="GG19" s="2" cm="1">
        <f t="array" ref="GG19">INDEX(增益!$A$2:$Q$40,GA19,MATCH(GG$8,增益!$B$1:$Q$1,0)+1)*$AI19</f>
        <v>0</v>
      </c>
      <c r="GH19" s="2" cm="1">
        <f t="array" ref="GH19">INDEX(增益!$A$2:$Q$40,GA19,MATCH(GH$8,增益!$B$1:$Q$1,0)+1)*$AI19</f>
        <v>0</v>
      </c>
      <c r="GI19" s="2" cm="1">
        <f t="array" ref="GI19">INDEX(增益!$A$2:$Q$40,GA19,MATCH(GI$8,增益!$B$1:$Q$1,0)+1)*$AI19</f>
        <v>0</v>
      </c>
      <c r="GJ19" s="2" cm="1">
        <f t="array" ref="GJ19">INDEX(增益!$A$2:$Q$40,GA19,MATCH(GJ$8,增益!$B$1:$Q$1,0)+1)*$AI19</f>
        <v>0</v>
      </c>
      <c r="GK19" s="2" cm="1">
        <f t="array" ref="GK19">INDEX(增益!$A$2:$Q$40,GA19,MATCH(GK$8,增益!$B$1:$Q$1,0)+1)*$AI19</f>
        <v>0</v>
      </c>
      <c r="GR19" s="2" cm="1">
        <f t="array" ref="GR19">INDEX(增益!$A$2:$Q$40,GA19,MATCH(GR$8,增益!$B$1:$Q$1,0)+1)*$AI19</f>
        <v>0</v>
      </c>
      <c r="GS19" s="2" cm="1">
        <f t="array" ref="GS19">INDEX(增益!$A$2:$Q$40,GA19,MATCH(GS$8,增益!$B$1:$Q$1,0)+1)*$AI19</f>
        <v>0</v>
      </c>
      <c r="GT19" s="2" cm="1">
        <f t="array" ref="GT19">INDEX(增益!$A$2:$Q$40,GA19,MATCH(GT$8,增益!$B$1:$Q$1,0)+1)*$AI19</f>
        <v>0</v>
      </c>
      <c r="GV19" s="2" cm="1">
        <f t="array" ref="GV19">INDEX(增益!$A$2:$Q$40,GA19,MATCH(GV$8,增益!$B$1:$Q$1,0)+1)*$AI19</f>
        <v>0</v>
      </c>
      <c r="GX19" s="2" cm="1">
        <f t="array" ref="GX19">INDEX(增益!$A$2:$Q$40,GA19,MATCH(GX$8,增益!$B$1:$Q$1,0)+1)*$AI19</f>
        <v>0</v>
      </c>
      <c r="GY19" s="2" cm="1">
        <f t="array" ref="GY19">INDEX(增益!$A$2:$Q$40,GA19,MATCH(GY$8,增益!$B$1:$Q$1,0)+1)*$AI19</f>
        <v>0</v>
      </c>
      <c r="HC19" s="2" cm="1">
        <f t="array" ref="HC19">INDEX(云配队!$J24:$AC24,1,HC$1)</f>
        <v>0</v>
      </c>
      <c r="HD19" s="2">
        <f>IFERROR(MATCH(HC19,增益!$A$2:$A$40,FALSE),1)</f>
        <v>1</v>
      </c>
      <c r="HE19" s="2" cm="1">
        <f t="array" ref="HE19">INDEX(增益!$A$2:$Q$40,HD19,MATCH(HE$8,增益!$B$1:$Q$1,0)+1)*$AI19</f>
        <v>0</v>
      </c>
      <c r="HF19" s="2" cm="1">
        <f t="array" ref="HF19">INDEX(增益!$A$2:$Q$40,HD19,MATCH(HF$8,增益!$B$1:$Q$1,0)+1)*$AI19</f>
        <v>0</v>
      </c>
      <c r="HG19" s="2" cm="1">
        <f t="array" ref="HG19">INDEX(增益!$A$2:$Q$40,HD19,MATCH(HG$8,增益!$B$1:$Q$1,0)+1)*$AI19</f>
        <v>0</v>
      </c>
      <c r="HH19" s="2" cm="1">
        <f t="array" ref="HH19">INDEX(增益!$A$2:$Q$40,HD19,MATCH(HH$8,增益!$B$1:$Q$1,0)+1)*$AI19</f>
        <v>0</v>
      </c>
      <c r="HI19" s="2" cm="1">
        <f t="array" ref="HI19">INDEX(增益!$A$2:$Q$40,HD19,MATCH(HI$8,增益!$B$1:$Q$1,0)+1)*$AI19</f>
        <v>0</v>
      </c>
      <c r="HJ19" s="2" cm="1">
        <f t="array" ref="HJ19">INDEX(增益!$A$2:$Q$40,HD19,MATCH(HJ$8,增益!$B$1:$Q$1,0)+1)*$AI19</f>
        <v>0</v>
      </c>
      <c r="HK19" s="2" cm="1">
        <f t="array" ref="HK19">INDEX(增益!$A$2:$Q$40,HD19,MATCH(HK$8,增益!$B$1:$Q$1,0)+1)*$AI19</f>
        <v>0</v>
      </c>
      <c r="HL19" s="2" cm="1">
        <f t="array" ref="HL19">INDEX(增益!$A$2:$Q$40,HD19,MATCH(HL$8,增益!$B$1:$Q$1,0)+1)*$AI19</f>
        <v>0</v>
      </c>
      <c r="HM19" s="2" cm="1">
        <f t="array" ref="HM19">INDEX(增益!$A$2:$Q$40,HD19,MATCH(HM$8,增益!$B$1:$Q$1,0)+1)*$AI19</f>
        <v>0</v>
      </c>
      <c r="HN19" s="2" cm="1">
        <f t="array" ref="HN19">INDEX(增益!$A$2:$Q$40,HD19,MATCH(HN$8,增益!$B$1:$Q$1,0)+1)*$AI19</f>
        <v>0</v>
      </c>
      <c r="HU19" s="2" cm="1">
        <f t="array" ref="HU19">INDEX(增益!$A$2:$Q$40,HD19,MATCH(HU$8,增益!$B$1:$Q$1,0)+1)*$AI19</f>
        <v>0</v>
      </c>
      <c r="HV19" s="2" cm="1">
        <f t="array" ref="HV19">INDEX(增益!$A$2:$Q$40,HD19,MATCH(HV$8,增益!$B$1:$Q$1,0)+1)*$AI19</f>
        <v>0</v>
      </c>
      <c r="HW19" s="2" cm="1">
        <f t="array" ref="HW19">INDEX(增益!$A$2:$Q$40,HD19,MATCH(HW$8,增益!$B$1:$Q$1,0)+1)*$AI19</f>
        <v>0</v>
      </c>
      <c r="HY19" s="2" cm="1">
        <f t="array" ref="HY19">INDEX(增益!$A$2:$Q$40,HD19,MATCH(HY$8,增益!$B$1:$Q$1,0)+1)*$AI19</f>
        <v>0</v>
      </c>
      <c r="IA19" s="2" cm="1">
        <f t="array" ref="IA19">INDEX(增益!$A$2:$Q$40,HD19,MATCH(IA$8,增益!$B$1:$Q$1,0)+1)*$AI19</f>
        <v>0</v>
      </c>
      <c r="IB19" s="2" cm="1">
        <f t="array" ref="IB19">INDEX(增益!$A$2:$Q$40,HD19,MATCH(IB$8,增益!$B$1:$Q$1,0)+1)*$AI19</f>
        <v>0</v>
      </c>
      <c r="IF19" s="2" cm="1">
        <f t="array" ref="IF19">INDEX(云配队!$J24:$AC24,1,IF$1)</f>
        <v>0</v>
      </c>
      <c r="IG19" s="2">
        <f>IFERROR(MATCH(IF19,增益!$A$2:$A$40,FALSE),1)</f>
        <v>1</v>
      </c>
      <c r="IH19" s="2" cm="1">
        <f t="array" ref="IH19">INDEX(增益!$A$2:$Q$40,IG19,MATCH(IH$8,增益!$B$1:$Q$1,0)+1)*$AI19</f>
        <v>0</v>
      </c>
      <c r="II19" s="2" cm="1">
        <f t="array" ref="II19">INDEX(增益!$A$2:$Q$40,IG19,MATCH(II$8,增益!$B$1:$Q$1,0)+1)*$AI19</f>
        <v>0</v>
      </c>
      <c r="IJ19" s="2" cm="1">
        <f t="array" ref="IJ19">INDEX(增益!$A$2:$Q$40,IG19,MATCH(IJ$8,增益!$B$1:$Q$1,0)+1)*$AI19</f>
        <v>0</v>
      </c>
      <c r="IK19" s="2" cm="1">
        <f t="array" ref="IK19">INDEX(增益!$A$2:$Q$40,IG19,MATCH(IK$8,增益!$B$1:$Q$1,0)+1)*$AI19</f>
        <v>0</v>
      </c>
      <c r="IL19" s="2" cm="1">
        <f t="array" ref="IL19">INDEX(增益!$A$2:$Q$40,IG19,MATCH(IL$8,增益!$B$1:$Q$1,0)+1)*$AI19</f>
        <v>0</v>
      </c>
      <c r="IM19" s="2" cm="1">
        <f t="array" ref="IM19">INDEX(增益!$A$2:$Q$40,IG19,MATCH(IM$8,增益!$B$1:$Q$1,0)+1)*$AI19</f>
        <v>0</v>
      </c>
      <c r="IN19" s="2" cm="1">
        <f t="array" ref="IN19">INDEX(增益!$A$2:$Q$40,IG19,MATCH(IN$8,增益!$B$1:$Q$1,0)+1)*$AI19</f>
        <v>0</v>
      </c>
      <c r="IO19" s="2" cm="1">
        <f t="array" ref="IO19">INDEX(增益!$A$2:$Q$40,IG19,MATCH(IO$8,增益!$B$1:$Q$1,0)+1)*$AI19</f>
        <v>0</v>
      </c>
      <c r="IP19" s="2" cm="1">
        <f t="array" ref="IP19">INDEX(增益!$A$2:$Q$40,IG19,MATCH(IP$8,增益!$B$1:$Q$1,0)+1)*$AI19</f>
        <v>0</v>
      </c>
      <c r="IQ19" s="2" cm="1">
        <f t="array" ref="IQ19">INDEX(增益!$A$2:$Q$40,IG19,MATCH(IQ$8,增益!$B$1:$Q$1,0)+1)*$AI19</f>
        <v>0</v>
      </c>
      <c r="IX19" s="2" cm="1">
        <f t="array" ref="IX19">INDEX(增益!$A$2:$Q$40,IG19,MATCH(IX$8,增益!$B$1:$Q$1,0)+1)*$AI19</f>
        <v>0</v>
      </c>
      <c r="IY19" s="2" cm="1">
        <f t="array" ref="IY19">INDEX(增益!$A$2:$Q$40,IG19,MATCH(IY$8,增益!$B$1:$Q$1,0)+1)*$AI19</f>
        <v>0</v>
      </c>
      <c r="IZ19" s="2" cm="1">
        <f t="array" ref="IZ19">INDEX(增益!$A$2:$Q$40,IG19,MATCH(IZ$8,增益!$B$1:$Q$1,0)+1)*$AI19</f>
        <v>0</v>
      </c>
      <c r="JB19" s="2" cm="1">
        <f t="array" ref="JB19">INDEX(增益!$A$2:$Q$40,IG19,MATCH(JB$8,增益!$B$1:$Q$1,0)+1)*$AI19</f>
        <v>0</v>
      </c>
      <c r="JD19" s="2" cm="1">
        <f t="array" ref="JD19">INDEX(增益!$A$2:$Q$40,IG19,MATCH(JD$8,增益!$B$1:$Q$1,0)+1)*$AI19</f>
        <v>0</v>
      </c>
      <c r="JE19" s="2" cm="1">
        <f t="array" ref="JE19">INDEX(增益!$A$2:$Q$40,IG19,MATCH(JE$8,增益!$B$1:$Q$1,0)+1)*$AI19</f>
        <v>0</v>
      </c>
      <c r="JI19" s="2" cm="1">
        <f t="array" ref="JI19">INDEX(云配队!$J24:$AC24,1,JI$1)</f>
        <v>0</v>
      </c>
      <c r="JJ19" s="2">
        <f>IFERROR(MATCH(JI19,增益!$A$2:$A$40,FALSE),1)</f>
        <v>1</v>
      </c>
      <c r="JK19" s="2" cm="1">
        <f t="array" ref="JK19">INDEX(增益!$A$2:$Q$40,JJ19,MATCH(JK$8,增益!$B$1:$Q$1,0)+1)*$AI19</f>
        <v>0</v>
      </c>
      <c r="JL19" s="2" cm="1">
        <f t="array" ref="JL19">INDEX(增益!$A$2:$Q$40,JJ19,MATCH(JL$8,增益!$B$1:$Q$1,0)+1)*$AI19</f>
        <v>0</v>
      </c>
      <c r="JM19" s="2" cm="1">
        <f t="array" ref="JM19">INDEX(增益!$A$2:$Q$40,JJ19,MATCH(JM$8,增益!$B$1:$Q$1,0)+1)*$AI19</f>
        <v>0</v>
      </c>
      <c r="JN19" s="2" cm="1">
        <f t="array" ref="JN19">INDEX(增益!$A$2:$Q$40,JJ19,MATCH(JN$8,增益!$B$1:$Q$1,0)+1)*$AI19</f>
        <v>0</v>
      </c>
      <c r="JO19" s="2" cm="1">
        <f t="array" ref="JO19">INDEX(增益!$A$2:$Q$40,JJ19,MATCH(JO$8,增益!$B$1:$Q$1,0)+1)*$AI19</f>
        <v>0</v>
      </c>
      <c r="JP19" s="2" cm="1">
        <f t="array" ref="JP19">INDEX(增益!$A$2:$Q$40,JJ19,MATCH(JP$8,增益!$B$1:$Q$1,0)+1)*$AI19</f>
        <v>0</v>
      </c>
      <c r="JQ19" s="2" cm="1">
        <f t="array" ref="JQ19">INDEX(增益!$A$2:$Q$40,JJ19,MATCH(JQ$8,增益!$B$1:$Q$1,0)+1)*$AI19</f>
        <v>0</v>
      </c>
      <c r="JR19" s="2" cm="1">
        <f t="array" ref="JR19">INDEX(增益!$A$2:$Q$40,JJ19,MATCH(JR$8,增益!$B$1:$Q$1,0)+1)*$AI19</f>
        <v>0</v>
      </c>
      <c r="JS19" s="2" cm="1">
        <f t="array" ref="JS19">INDEX(增益!$A$2:$Q$40,JJ19,MATCH(JS$8,增益!$B$1:$Q$1,0)+1)*$AI19</f>
        <v>0</v>
      </c>
      <c r="JT19" s="2" cm="1">
        <f t="array" ref="JT19">INDEX(增益!$A$2:$Q$40,JJ19,MATCH(JT$8,增益!$B$1:$Q$1,0)+1)*$AI19</f>
        <v>0</v>
      </c>
      <c r="KA19" s="2" cm="1">
        <f t="array" ref="KA19">INDEX(增益!$A$2:$Q$40,JJ19,MATCH(KA$8,增益!$B$1:$Q$1,0)+1)*$AI19</f>
        <v>0</v>
      </c>
      <c r="KB19" s="2" cm="1">
        <f t="array" ref="KB19">INDEX(增益!$A$2:$Q$40,JJ19,MATCH(KB$8,增益!$B$1:$Q$1,0)+1)*$AI19</f>
        <v>0</v>
      </c>
      <c r="KC19" s="2" cm="1">
        <f t="array" ref="KC19">INDEX(增益!$A$2:$Q$40,JJ19,MATCH(KC$8,增益!$B$1:$Q$1,0)+1)*$AI19</f>
        <v>0</v>
      </c>
      <c r="KE19" s="2" cm="1">
        <f t="array" ref="KE19">INDEX(增益!$A$2:$Q$40,JJ19,MATCH(KE$8,增益!$B$1:$Q$1,0)+1)*$AI19</f>
        <v>0</v>
      </c>
      <c r="KG19" s="2" cm="1">
        <f t="array" ref="KG19">INDEX(增益!$A$2:$Q$40,JJ19,MATCH(KG$8,增益!$B$1:$Q$1,0)+1)*$AI19</f>
        <v>0</v>
      </c>
      <c r="KH19" s="2" cm="1">
        <f t="array" ref="KH19">INDEX(增益!$A$2:$Q$40,JJ19,MATCH(KH$8,增益!$B$1:$Q$1,0)+1)*$AI19</f>
        <v>0</v>
      </c>
      <c r="KL19" s="2" cm="1">
        <f t="array" ref="KL19">INDEX(云配队!$J24:$AC24,1,KL$1)</f>
        <v>0</v>
      </c>
      <c r="KM19" s="2">
        <f>IFERROR(MATCH(KL19,增益!$A$2:$A$40,FALSE),1)</f>
        <v>1</v>
      </c>
      <c r="KN19" s="2" cm="1">
        <f t="array" ref="KN19">INDEX(增益!$A$2:$Q$40,KM19,MATCH(KN$8,增益!$B$1:$Q$1,0)+1)*$AI19</f>
        <v>0</v>
      </c>
      <c r="KO19" s="2" cm="1">
        <f t="array" ref="KO19">INDEX(增益!$A$2:$Q$40,KM19,MATCH(KO$8,增益!$B$1:$Q$1,0)+1)*$AI19</f>
        <v>0</v>
      </c>
      <c r="KP19" s="2" cm="1">
        <f t="array" ref="KP19">INDEX(增益!$A$2:$Q$40,KM19,MATCH(KP$8,增益!$B$1:$Q$1,0)+1)*$AI19</f>
        <v>0</v>
      </c>
      <c r="KQ19" s="2" cm="1">
        <f t="array" ref="KQ19">INDEX(增益!$A$2:$Q$40,KM19,MATCH(KQ$8,增益!$B$1:$Q$1,0)+1)*$AI19</f>
        <v>0</v>
      </c>
      <c r="KR19" s="2" cm="1">
        <f t="array" ref="KR19">INDEX(增益!$A$2:$Q$40,KM19,MATCH(KR$8,增益!$B$1:$Q$1,0)+1)*$AI19</f>
        <v>0</v>
      </c>
      <c r="KS19" s="2" cm="1">
        <f t="array" ref="KS19">INDEX(增益!$A$2:$Q$40,KM19,MATCH(KS$8,增益!$B$1:$Q$1,0)+1)*$AI19</f>
        <v>0</v>
      </c>
      <c r="KT19" s="2" cm="1">
        <f t="array" ref="KT19">INDEX(增益!$A$2:$Q$40,KM19,MATCH(KT$8,增益!$B$1:$Q$1,0)+1)*$AI19</f>
        <v>0</v>
      </c>
      <c r="KU19" s="2" cm="1">
        <f t="array" ref="KU19">INDEX(增益!$A$2:$Q$40,KM19,MATCH(KU$8,增益!$B$1:$Q$1,0)+1)*$AI19</f>
        <v>0</v>
      </c>
      <c r="KV19" s="2" cm="1">
        <f t="array" ref="KV19">INDEX(增益!$A$2:$Q$40,KM19,MATCH(KV$8,增益!$B$1:$Q$1,0)+1)*$AI19</f>
        <v>0</v>
      </c>
      <c r="KW19" s="2" cm="1">
        <f t="array" ref="KW19">INDEX(增益!$A$2:$Q$40,KM19,MATCH(KW$8,增益!$B$1:$Q$1,0)+1)*$AI19</f>
        <v>0</v>
      </c>
      <c r="LD19" s="2" cm="1">
        <f t="array" ref="LD19">INDEX(增益!$A$2:$Q$40,KM19,MATCH(LD$8,增益!$B$1:$Q$1,0)+1)*$AI19</f>
        <v>0</v>
      </c>
      <c r="LE19" s="2" cm="1">
        <f t="array" ref="LE19">INDEX(增益!$A$2:$Q$40,KM19,MATCH(LE$8,增益!$B$1:$Q$1,0)+1)*$AI19</f>
        <v>0</v>
      </c>
      <c r="LF19" s="2" cm="1">
        <f t="array" ref="LF19">INDEX(增益!$A$2:$Q$40,KM19,MATCH(LF$8,增益!$B$1:$Q$1,0)+1)*$AI19</f>
        <v>0</v>
      </c>
      <c r="LH19" s="2" cm="1">
        <f t="array" ref="LH19">INDEX(增益!$A$2:$Q$40,KM19,MATCH(LH$8,增益!$B$1:$Q$1,0)+1)*$AI19</f>
        <v>0</v>
      </c>
      <c r="LJ19" s="2" cm="1">
        <f t="array" ref="LJ19">INDEX(增益!$A$2:$Q$40,KM19,MATCH(LJ$8,增益!$B$1:$Q$1,0)+1)*$AI19</f>
        <v>0</v>
      </c>
      <c r="LK19" s="2" cm="1">
        <f t="array" ref="LK19">INDEX(增益!$A$2:$Q$40,KM19,MATCH(LK$8,增益!$B$1:$Q$1,0)+1)*$AI19</f>
        <v>0</v>
      </c>
      <c r="LO19" s="2" cm="1">
        <f t="array" ref="LO19">INDEX(云配队!$J24:$AC24,1,LO$1)</f>
        <v>0</v>
      </c>
      <c r="LP19" s="2">
        <f>IFERROR(MATCH(LO19,增益!$A$2:$A$40,FALSE),1)</f>
        <v>1</v>
      </c>
      <c r="LQ19" s="2" cm="1">
        <f t="array" ref="LQ19">INDEX(增益!$A$2:$Q$40,LP19,MATCH(LQ$8,增益!$B$1:$Q$1,0)+1)*$AI19</f>
        <v>0</v>
      </c>
      <c r="LR19" s="2" cm="1">
        <f t="array" ref="LR19">INDEX(增益!$A$2:$Q$40,LP19,MATCH(LR$8,增益!$B$1:$Q$1,0)+1)*$AI19</f>
        <v>0</v>
      </c>
      <c r="LS19" s="2" cm="1">
        <f t="array" ref="LS19">INDEX(增益!$A$2:$Q$40,LP19,MATCH(LS$8,增益!$B$1:$Q$1,0)+1)*$AI19</f>
        <v>0</v>
      </c>
      <c r="LT19" s="2" cm="1">
        <f t="array" ref="LT19">INDEX(增益!$A$2:$Q$40,LP19,MATCH(LT$8,增益!$B$1:$Q$1,0)+1)*$AI19</f>
        <v>0</v>
      </c>
      <c r="LU19" s="2" cm="1">
        <f t="array" ref="LU19">INDEX(增益!$A$2:$Q$40,LP19,MATCH(LU$8,增益!$B$1:$Q$1,0)+1)*$AI19</f>
        <v>0</v>
      </c>
      <c r="LV19" s="2" cm="1">
        <f t="array" ref="LV19">INDEX(增益!$A$2:$Q$40,LP19,MATCH(LV$8,增益!$B$1:$Q$1,0)+1)*$AI19</f>
        <v>0</v>
      </c>
      <c r="LW19" s="2" cm="1">
        <f t="array" ref="LW19">INDEX(增益!$A$2:$Q$40,LP19,MATCH(LW$8,增益!$B$1:$Q$1,0)+1)*$AI19</f>
        <v>0</v>
      </c>
      <c r="LX19" s="2" cm="1">
        <f t="array" ref="LX19">INDEX(增益!$A$2:$Q$40,LP19,MATCH(LX$8,增益!$B$1:$Q$1,0)+1)*$AI19</f>
        <v>0</v>
      </c>
      <c r="LY19" s="2" cm="1">
        <f t="array" ref="LY19">INDEX(增益!$A$2:$Q$40,LP19,MATCH(LY$8,增益!$B$1:$Q$1,0)+1)*$AI19</f>
        <v>0</v>
      </c>
      <c r="LZ19" s="2" cm="1">
        <f t="array" ref="LZ19">INDEX(增益!$A$2:$Q$40,LP19,MATCH(LZ$8,增益!$B$1:$Q$1,0)+1)*$AI19</f>
        <v>0</v>
      </c>
      <c r="MG19" s="2" cm="1">
        <f t="array" ref="MG19">INDEX(增益!$A$2:$Q$40,LP19,MATCH(MG$8,增益!$B$1:$Q$1,0)+1)*$AI19</f>
        <v>0</v>
      </c>
      <c r="MH19" s="2" cm="1">
        <f t="array" ref="MH19">INDEX(增益!$A$2:$Q$40,LP19,MATCH(MH$8,增益!$B$1:$Q$1,0)+1)*$AI19</f>
        <v>0</v>
      </c>
      <c r="MI19" s="2" cm="1">
        <f t="array" ref="MI19">INDEX(增益!$A$2:$Q$40,LP19,MATCH(MI$8,增益!$B$1:$Q$1,0)+1)*$AI19</f>
        <v>0</v>
      </c>
      <c r="MK19" s="2" cm="1">
        <f t="array" ref="MK19">INDEX(增益!$A$2:$Q$40,LP19,MATCH(MK$8,增益!$B$1:$Q$1,0)+1)*$AI19</f>
        <v>0</v>
      </c>
      <c r="MM19" s="2" cm="1">
        <f t="array" ref="MM19">INDEX(增益!$A$2:$Q$40,LP19,MATCH(MM$8,增益!$B$1:$Q$1,0)+1)*$AI19</f>
        <v>0</v>
      </c>
      <c r="MN19" s="2" cm="1">
        <f t="array" ref="MN19">INDEX(增益!$A$2:$Q$40,LP19,MATCH(MN$8,增益!$B$1:$Q$1,0)+1)*$AI19</f>
        <v>0</v>
      </c>
      <c r="MR19" s="2" cm="1">
        <f t="array" ref="MR19">INDEX(云配队!$J24:$AC24,1,MR$1)</f>
        <v>0</v>
      </c>
      <c r="MS19" s="2">
        <f>IFERROR(MATCH(MR19,增益!$A$2:$A$40,FALSE),1)</f>
        <v>1</v>
      </c>
      <c r="MT19" s="2" cm="1">
        <f t="array" ref="MT19">INDEX(增益!$A$2:$Q$40,MS19,MATCH(MT$8,增益!$B$1:$Q$1,0)+1)*$AI19</f>
        <v>0</v>
      </c>
      <c r="MU19" s="2" cm="1">
        <f t="array" ref="MU19">INDEX(增益!$A$2:$Q$40,MS19,MATCH(MU$8,增益!$B$1:$Q$1,0)+1)*$AI19</f>
        <v>0</v>
      </c>
      <c r="MV19" s="2" cm="1">
        <f t="array" ref="MV19">INDEX(增益!$A$2:$Q$40,MS19,MATCH(MV$8,增益!$B$1:$Q$1,0)+1)*$AI19</f>
        <v>0</v>
      </c>
      <c r="MW19" s="2" cm="1">
        <f t="array" ref="MW19">INDEX(增益!$A$2:$Q$40,MS19,MATCH(MW$8,增益!$B$1:$Q$1,0)+1)*$AI19</f>
        <v>0</v>
      </c>
      <c r="MX19" s="2" cm="1">
        <f t="array" ref="MX19">INDEX(增益!$A$2:$Q$40,MS19,MATCH(MX$8,增益!$B$1:$Q$1,0)+1)*$AI19</f>
        <v>0</v>
      </c>
      <c r="MY19" s="2" cm="1">
        <f t="array" ref="MY19">INDEX(增益!$A$2:$Q$40,MS19,MATCH(MY$8,增益!$B$1:$Q$1,0)+1)*$AI19</f>
        <v>0</v>
      </c>
      <c r="MZ19" s="2" cm="1">
        <f t="array" ref="MZ19">INDEX(增益!$A$2:$Q$40,MS19,MATCH(MZ$8,增益!$B$1:$Q$1,0)+1)*$AI19</f>
        <v>0</v>
      </c>
      <c r="NA19" s="2" cm="1">
        <f t="array" ref="NA19">INDEX(增益!$A$2:$Q$40,MS19,MATCH(NA$8,增益!$B$1:$Q$1,0)+1)*$AI19</f>
        <v>0</v>
      </c>
      <c r="NB19" s="2" cm="1">
        <f t="array" ref="NB19">INDEX(增益!$A$2:$Q$40,MS19,MATCH(NB$8,增益!$B$1:$Q$1,0)+1)*$AI19</f>
        <v>0</v>
      </c>
      <c r="NC19" s="2" cm="1">
        <f t="array" ref="NC19">INDEX(增益!$A$2:$Q$40,MS19,MATCH(NC$8,增益!$B$1:$Q$1,0)+1)*$AI19</f>
        <v>0</v>
      </c>
      <c r="NJ19" s="2" cm="1">
        <f t="array" ref="NJ19">INDEX(增益!$A$2:$Q$40,MS19,MATCH(NJ$8,增益!$B$1:$Q$1,0)+1)*$AI19</f>
        <v>0</v>
      </c>
      <c r="NK19" s="2" cm="1">
        <f t="array" ref="NK19">INDEX(增益!$A$2:$Q$40,MS19,MATCH(NK$8,增益!$B$1:$Q$1,0)+1)*$AI19</f>
        <v>0</v>
      </c>
      <c r="NL19" s="2" cm="1">
        <f t="array" ref="NL19">INDEX(增益!$A$2:$Q$40,MS19,MATCH(NL$8,增益!$B$1:$Q$1,0)+1)*$AI19</f>
        <v>0</v>
      </c>
      <c r="NN19" s="2" cm="1">
        <f t="array" ref="NN19">INDEX(增益!$A$2:$Q$40,MS19,MATCH(NN$8,增益!$B$1:$Q$1,0)+1)*$AI19</f>
        <v>0</v>
      </c>
      <c r="NP19" s="2" cm="1">
        <f t="array" ref="NP19">INDEX(增益!$A$2:$Q$40,MS19,MATCH(NP$8,增益!$B$1:$Q$1,0)+1)*$AI19</f>
        <v>0</v>
      </c>
      <c r="NQ19" s="2" cm="1">
        <f t="array" ref="NQ19">INDEX(增益!$A$2:$Q$40,MS19,MATCH(NQ$8,增益!$B$1:$Q$1,0)+1)*$AI19</f>
        <v>0</v>
      </c>
      <c r="NU19" s="2" cm="1">
        <f t="array" ref="NU19">INDEX(云配队!$J24:$AC24,1,NU$1)</f>
        <v>0</v>
      </c>
      <c r="NV19" s="2">
        <f>IFERROR(MATCH(NU19,增益!$A$2:$A$40,FALSE),1)</f>
        <v>1</v>
      </c>
      <c r="NW19" s="2" cm="1">
        <f t="array" ref="NW19">INDEX(增益!$A$2:$Q$40,NV19,MATCH(NW$8,增益!$B$1:$Q$1,0)+1)*$AI19</f>
        <v>0</v>
      </c>
      <c r="NX19" s="2" cm="1">
        <f t="array" ref="NX19">INDEX(增益!$A$2:$Q$40,NV19,MATCH(NX$8,增益!$B$1:$Q$1,0)+1)*$AI19</f>
        <v>0</v>
      </c>
      <c r="NY19" s="2" cm="1">
        <f t="array" ref="NY19">INDEX(增益!$A$2:$Q$40,NV19,MATCH(NY$8,增益!$B$1:$Q$1,0)+1)*$AI19</f>
        <v>0</v>
      </c>
      <c r="NZ19" s="2" cm="1">
        <f t="array" ref="NZ19">INDEX(增益!$A$2:$Q$40,NV19,MATCH(NZ$8,增益!$B$1:$Q$1,0)+1)*$AI19</f>
        <v>0</v>
      </c>
      <c r="OA19" s="2" cm="1">
        <f t="array" ref="OA19">INDEX(增益!$A$2:$Q$40,NV19,MATCH(OA$8,增益!$B$1:$Q$1,0)+1)*$AI19</f>
        <v>0</v>
      </c>
      <c r="OB19" s="2" cm="1">
        <f t="array" ref="OB19">INDEX(增益!$A$2:$Q$40,NV19,MATCH(OB$8,增益!$B$1:$Q$1,0)+1)*$AI19</f>
        <v>0</v>
      </c>
      <c r="OC19" s="2" cm="1">
        <f t="array" ref="OC19">INDEX(增益!$A$2:$Q$40,NV19,MATCH(OC$8,增益!$B$1:$Q$1,0)+1)*$AI19</f>
        <v>0</v>
      </c>
      <c r="OD19" s="2" cm="1">
        <f t="array" ref="OD19">INDEX(增益!$A$2:$Q$40,NV19,MATCH(OD$8,增益!$B$1:$Q$1,0)+1)*$AI19</f>
        <v>0</v>
      </c>
      <c r="OE19" s="2" cm="1">
        <f t="array" ref="OE19">INDEX(增益!$A$2:$Q$40,NV19,MATCH(OE$8,增益!$B$1:$Q$1,0)+1)*$AI19</f>
        <v>0</v>
      </c>
      <c r="OF19" s="2" cm="1">
        <f t="array" ref="OF19">INDEX(增益!$A$2:$Q$40,NV19,MATCH(OF$8,增益!$B$1:$Q$1,0)+1)*$AI19</f>
        <v>0</v>
      </c>
      <c r="OM19" s="2" cm="1">
        <f t="array" ref="OM19">INDEX(增益!$A$2:$Q$40,NV19,MATCH(OM$8,增益!$B$1:$Q$1,0)+1)*$AI19</f>
        <v>0</v>
      </c>
      <c r="ON19" s="2" cm="1">
        <f t="array" ref="ON19">INDEX(增益!$A$2:$Q$40,NV19,MATCH(ON$8,增益!$B$1:$Q$1,0)+1)*$AI19</f>
        <v>0</v>
      </c>
      <c r="OO19" s="2" cm="1">
        <f t="array" ref="OO19">INDEX(增益!$A$2:$Q$40,NV19,MATCH(OO$8,增益!$B$1:$Q$1,0)+1)*$AI19</f>
        <v>0</v>
      </c>
      <c r="OQ19" s="2" cm="1">
        <f t="array" ref="OQ19">INDEX(增益!$A$2:$Q$40,NV19,MATCH(OQ$8,增益!$B$1:$Q$1,0)+1)*$AI19</f>
        <v>0</v>
      </c>
      <c r="OS19" s="2" cm="1">
        <f t="array" ref="OS19">INDEX(增益!$A$2:$Q$40,NV19,MATCH(OS$8,增益!$B$1:$Q$1,0)+1)*$AI19</f>
        <v>0</v>
      </c>
      <c r="OT19" s="2" cm="1">
        <f t="array" ref="OT19">INDEX(增益!$A$2:$Q$40,NV19,MATCH(OT$8,增益!$B$1:$Q$1,0)+1)*$AI19</f>
        <v>0</v>
      </c>
      <c r="OX19" s="2" cm="1">
        <f t="array" ref="OX19">INDEX(云配队!$J24:$AC24,1,OX$1)</f>
        <v>0</v>
      </c>
      <c r="OY19" s="2">
        <f>IFERROR(MATCH(OX19,增益!$A$2:$A$40,FALSE),1)</f>
        <v>1</v>
      </c>
      <c r="OZ19" s="2" cm="1">
        <f t="array" ref="OZ19">INDEX(增益!$A$2:$Q$40,OY19,MATCH(OZ$8,增益!$B$1:$Q$1,0)+1)*$AI19</f>
        <v>0</v>
      </c>
      <c r="PA19" s="2" cm="1">
        <f t="array" ref="PA19">INDEX(增益!$A$2:$Q$40,OY19,MATCH(PA$8,增益!$B$1:$Q$1,0)+1)*$AI19</f>
        <v>0</v>
      </c>
      <c r="PB19" s="2" cm="1">
        <f t="array" ref="PB19">INDEX(增益!$A$2:$Q$40,OY19,MATCH(PB$8,增益!$B$1:$Q$1,0)+1)*$AI19</f>
        <v>0</v>
      </c>
      <c r="PC19" s="2" cm="1">
        <f t="array" ref="PC19">INDEX(增益!$A$2:$Q$40,OY19,MATCH(PC$8,增益!$B$1:$Q$1,0)+1)*$AI19</f>
        <v>0</v>
      </c>
      <c r="PD19" s="2" cm="1">
        <f t="array" ref="PD19">INDEX(增益!$A$2:$Q$40,OY19,MATCH(PD$8,增益!$B$1:$Q$1,0)+1)*$AI19</f>
        <v>0</v>
      </c>
      <c r="PE19" s="2" cm="1">
        <f t="array" ref="PE19">INDEX(增益!$A$2:$Q$40,OY19,MATCH(PE$8,增益!$B$1:$Q$1,0)+1)*$AI19</f>
        <v>0</v>
      </c>
      <c r="PF19" s="2" cm="1">
        <f t="array" ref="PF19">INDEX(增益!$A$2:$Q$40,OY19,MATCH(PF$8,增益!$B$1:$Q$1,0)+1)*$AI19</f>
        <v>0</v>
      </c>
      <c r="PG19" s="2" cm="1">
        <f t="array" ref="PG19">INDEX(增益!$A$2:$Q$40,OY19,MATCH(PG$8,增益!$B$1:$Q$1,0)+1)*$AI19</f>
        <v>0</v>
      </c>
      <c r="PH19" s="2" cm="1">
        <f t="array" ref="PH19">INDEX(增益!$A$2:$Q$40,OY19,MATCH(PH$8,增益!$B$1:$Q$1,0)+1)*$AI19</f>
        <v>0</v>
      </c>
      <c r="PI19" s="2" cm="1">
        <f t="array" ref="PI19">INDEX(增益!$A$2:$Q$40,OY19,MATCH(PI$8,增益!$B$1:$Q$1,0)+1)*$AI19</f>
        <v>0</v>
      </c>
      <c r="PP19" s="2" cm="1">
        <f t="array" ref="PP19">INDEX(增益!$A$2:$Q$40,OY19,MATCH(PP$8,增益!$B$1:$Q$1,0)+1)*$AI19</f>
        <v>0</v>
      </c>
      <c r="PQ19" s="2" cm="1">
        <f t="array" ref="PQ19">INDEX(增益!$A$2:$Q$40,OY19,MATCH(PQ$8,增益!$B$1:$Q$1,0)+1)*$AI19</f>
        <v>0</v>
      </c>
      <c r="PR19" s="2" cm="1">
        <f t="array" ref="PR19">INDEX(增益!$A$2:$Q$40,OY19,MATCH(PR$8,增益!$B$1:$Q$1,0)+1)*$AI19</f>
        <v>0</v>
      </c>
      <c r="PT19" s="2" cm="1">
        <f t="array" ref="PT19">INDEX(增益!$A$2:$Q$40,OY19,MATCH(PT$8,增益!$B$1:$Q$1,0)+1)*$AI19</f>
        <v>0</v>
      </c>
      <c r="PV19" s="2" cm="1">
        <f t="array" ref="PV19">INDEX(增益!$A$2:$Q$40,OY19,MATCH(PV$8,增益!$B$1:$Q$1,0)+1)*$AI19</f>
        <v>0</v>
      </c>
      <c r="PW19" s="2" cm="1">
        <f t="array" ref="PW19">INDEX(增益!$A$2:$Q$40,OY19,MATCH(PW$8,增益!$B$1:$Q$1,0)+1)*$AI19</f>
        <v>0</v>
      </c>
      <c r="QA19" s="2" cm="1">
        <f t="array" ref="QA19">INDEX(云配队!$J24:$AC24,1,QA$1)</f>
        <v>0</v>
      </c>
      <c r="QB19" s="2">
        <f>IFERROR(MATCH(QA19,增益!$A$2:$A$40,FALSE),1)</f>
        <v>1</v>
      </c>
      <c r="QC19" s="2" cm="1">
        <f t="array" ref="QC19">INDEX(增益!$A$2:$Q$40,QB19,MATCH(QC$8,增益!$B$1:$Q$1,0)+1)*$AI19</f>
        <v>0</v>
      </c>
      <c r="QD19" s="2" cm="1">
        <f t="array" ref="QD19">INDEX(增益!$A$2:$Q$40,QB19,MATCH(QD$8,增益!$B$1:$Q$1,0)+1)*$AI19</f>
        <v>0</v>
      </c>
      <c r="QE19" s="2" cm="1">
        <f t="array" ref="QE19">INDEX(增益!$A$2:$Q$40,QB19,MATCH(QE$8,增益!$B$1:$Q$1,0)+1)*$AI19</f>
        <v>0</v>
      </c>
      <c r="QF19" s="2" cm="1">
        <f t="array" ref="QF19">INDEX(增益!$A$2:$Q$40,QB19,MATCH(QF$8,增益!$B$1:$Q$1,0)+1)*$AI19</f>
        <v>0</v>
      </c>
      <c r="QG19" s="2" cm="1">
        <f t="array" ref="QG19">INDEX(增益!$A$2:$Q$40,QB19,MATCH(QG$8,增益!$B$1:$Q$1,0)+1)*$AI19</f>
        <v>0</v>
      </c>
      <c r="QH19" s="2" cm="1">
        <f t="array" ref="QH19">INDEX(增益!$A$2:$Q$40,QB19,MATCH(QH$8,增益!$B$1:$Q$1,0)+1)*$AI19</f>
        <v>0</v>
      </c>
      <c r="QI19" s="2" cm="1">
        <f t="array" ref="QI19">INDEX(增益!$A$2:$Q$40,QB19,MATCH(QI$8,增益!$B$1:$Q$1,0)+1)*$AI19</f>
        <v>0</v>
      </c>
      <c r="QJ19" s="2" cm="1">
        <f t="array" ref="QJ19">INDEX(增益!$A$2:$Q$40,QB19,MATCH(QJ$8,增益!$B$1:$Q$1,0)+1)*$AI19</f>
        <v>0</v>
      </c>
      <c r="QK19" s="2" cm="1">
        <f t="array" ref="QK19">INDEX(增益!$A$2:$Q$40,QB19,MATCH(QK$8,增益!$B$1:$Q$1,0)+1)*$AI19</f>
        <v>0</v>
      </c>
      <c r="QL19" s="2" cm="1">
        <f t="array" ref="QL19">INDEX(增益!$A$2:$Q$40,QB19,MATCH(QL$8,增益!$B$1:$Q$1,0)+1)*$AI19</f>
        <v>0</v>
      </c>
      <c r="QS19" s="2" cm="1">
        <f t="array" ref="QS19">INDEX(增益!$A$2:$Q$40,QB19,MATCH(QS$8,增益!$B$1:$Q$1,0)+1)*$AI19</f>
        <v>0</v>
      </c>
      <c r="QT19" s="2" cm="1">
        <f t="array" ref="QT19">INDEX(增益!$A$2:$Q$40,QB19,MATCH(QT$8,增益!$B$1:$Q$1,0)+1)*$AI19</f>
        <v>0</v>
      </c>
      <c r="QU19" s="2" cm="1">
        <f t="array" ref="QU19">INDEX(增益!$A$2:$Q$40,QB19,MATCH(QU$8,增益!$B$1:$Q$1,0)+1)*$AI19</f>
        <v>0</v>
      </c>
      <c r="QW19" s="2" cm="1">
        <f t="array" ref="QW19">INDEX(增益!$A$2:$Q$40,QB19,MATCH(QW$8,增益!$B$1:$Q$1,0)+1)*$AI19</f>
        <v>0</v>
      </c>
      <c r="QY19" s="2" cm="1">
        <f t="array" ref="QY19">INDEX(增益!$A$2:$Q$40,QB19,MATCH(QY$8,增益!$B$1:$Q$1,0)+1)*$AI19</f>
        <v>0</v>
      </c>
      <c r="QZ19" s="2" cm="1">
        <f t="array" ref="QZ19">INDEX(增益!$A$2:$Q$40,QB19,MATCH(QZ$8,增益!$B$1:$Q$1,0)+1)*$AI19</f>
        <v>0</v>
      </c>
      <c r="RD19" s="2" cm="1">
        <f t="array" ref="RD19">INDEX(云配队!$J24:$AC24,1,RD$1)</f>
        <v>0</v>
      </c>
      <c r="RE19" s="2">
        <f>IFERROR(MATCH(RD19,增益!$A$2:$A$40,FALSE),1)</f>
        <v>1</v>
      </c>
      <c r="RF19" s="2" cm="1">
        <f t="array" ref="RF19">INDEX(增益!$A$2:$Q$40,RE19,MATCH(RF$8,增益!$B$1:$Q$1,0)+1)*$AI19</f>
        <v>0</v>
      </c>
      <c r="RG19" s="2" cm="1">
        <f t="array" ref="RG19">INDEX(增益!$A$2:$Q$40,RE19,MATCH(RG$8,增益!$B$1:$Q$1,0)+1)*$AI19</f>
        <v>0</v>
      </c>
      <c r="RH19" s="2" cm="1">
        <f t="array" ref="RH19">INDEX(增益!$A$2:$Q$40,RE19,MATCH(RH$8,增益!$B$1:$Q$1,0)+1)*$AI19</f>
        <v>0</v>
      </c>
      <c r="RI19" s="2" cm="1">
        <f t="array" ref="RI19">INDEX(增益!$A$2:$Q$40,RE19,MATCH(RI$8,增益!$B$1:$Q$1,0)+1)*$AI19</f>
        <v>0</v>
      </c>
      <c r="RJ19" s="2" cm="1">
        <f t="array" ref="RJ19">INDEX(增益!$A$2:$Q$40,RE19,MATCH(RJ$8,增益!$B$1:$Q$1,0)+1)*$AI19</f>
        <v>0</v>
      </c>
      <c r="RK19" s="2" cm="1">
        <f t="array" ref="RK19">INDEX(增益!$A$2:$Q$40,RE19,MATCH(RK$8,增益!$B$1:$Q$1,0)+1)*$AI19</f>
        <v>0</v>
      </c>
      <c r="RL19" s="2" cm="1">
        <f t="array" ref="RL19">INDEX(增益!$A$2:$Q$40,RE19,MATCH(RL$8,增益!$B$1:$Q$1,0)+1)*$AI19</f>
        <v>0</v>
      </c>
      <c r="RM19" s="2" cm="1">
        <f t="array" ref="RM19">INDEX(增益!$A$2:$Q$40,RE19,MATCH(RM$8,增益!$B$1:$Q$1,0)+1)*$AI19</f>
        <v>0</v>
      </c>
      <c r="RN19" s="2" cm="1">
        <f t="array" ref="RN19">INDEX(增益!$A$2:$Q$40,RE19,MATCH(RN$8,增益!$B$1:$Q$1,0)+1)*$AI19</f>
        <v>0</v>
      </c>
      <c r="RO19" s="2" cm="1">
        <f t="array" ref="RO19">INDEX(增益!$A$2:$Q$40,RE19,MATCH(RO$8,增益!$B$1:$Q$1,0)+1)*$AI19</f>
        <v>0</v>
      </c>
      <c r="RV19" s="2" cm="1">
        <f t="array" ref="RV19">INDEX(增益!$A$2:$Q$40,RE19,MATCH(RV$8,增益!$B$1:$Q$1,0)+1)*$AI19</f>
        <v>0</v>
      </c>
      <c r="RW19" s="2" cm="1">
        <f t="array" ref="RW19">INDEX(增益!$A$2:$Q$40,RE19,MATCH(RW$8,增益!$B$1:$Q$1,0)+1)*$AI19</f>
        <v>0</v>
      </c>
      <c r="RX19" s="2" cm="1">
        <f t="array" ref="RX19">INDEX(增益!$A$2:$Q$40,RE19,MATCH(RX$8,增益!$B$1:$Q$1,0)+1)*$AI19</f>
        <v>0</v>
      </c>
      <c r="RZ19" s="2" cm="1">
        <f t="array" ref="RZ19">INDEX(增益!$A$2:$Q$40,RE19,MATCH(RZ$8,增益!$B$1:$Q$1,0)+1)*$AI19</f>
        <v>0</v>
      </c>
      <c r="SB19" s="2" cm="1">
        <f t="array" ref="SB19">INDEX(增益!$A$2:$Q$40,RE19,MATCH(SB$8,增益!$B$1:$Q$1,0)+1)*$AI19</f>
        <v>0</v>
      </c>
      <c r="SC19" s="2" cm="1">
        <f t="array" ref="SC19">INDEX(增益!$A$2:$Q$40,RE19,MATCH(SC$8,增益!$B$1:$Q$1,0)+1)*$AI19</f>
        <v>0</v>
      </c>
      <c r="SG19" s="2" cm="1">
        <f t="array" ref="SG19">INDEX(云配队!$J24:$AC24,1,SG$1)</f>
        <v>0</v>
      </c>
      <c r="SH19" s="2">
        <f>IFERROR(MATCH(SG19,增益!$A$2:$A$40,FALSE),1)</f>
        <v>1</v>
      </c>
      <c r="SI19" s="2" cm="1">
        <f t="array" ref="SI19">INDEX(增益!$A$2:$Q$40,SH19,MATCH(SI$8,增益!$B$1:$Q$1,0)+1)*$AI19</f>
        <v>0</v>
      </c>
      <c r="SJ19" s="2" cm="1">
        <f t="array" ref="SJ19">INDEX(增益!$A$2:$Q$40,SH19,MATCH(SJ$8,增益!$B$1:$Q$1,0)+1)*$AI19</f>
        <v>0</v>
      </c>
      <c r="SK19" s="2" cm="1">
        <f t="array" ref="SK19">INDEX(增益!$A$2:$Q$40,SH19,MATCH(SK$8,增益!$B$1:$Q$1,0)+1)*$AI19</f>
        <v>0</v>
      </c>
      <c r="SL19" s="2" cm="1">
        <f t="array" ref="SL19">INDEX(增益!$A$2:$Q$40,SH19,MATCH(SL$8,增益!$B$1:$Q$1,0)+1)*$AI19</f>
        <v>0</v>
      </c>
      <c r="SM19" s="2" cm="1">
        <f t="array" ref="SM19">INDEX(增益!$A$2:$Q$40,SH19,MATCH(SM$8,增益!$B$1:$Q$1,0)+1)*$AI19</f>
        <v>0</v>
      </c>
      <c r="SN19" s="2" cm="1">
        <f t="array" ref="SN19">INDEX(增益!$A$2:$Q$40,SH19,MATCH(SN$8,增益!$B$1:$Q$1,0)+1)*$AI19</f>
        <v>0</v>
      </c>
      <c r="SO19" s="2" cm="1">
        <f t="array" ref="SO19">INDEX(增益!$A$2:$Q$40,SH19,MATCH(SO$8,增益!$B$1:$Q$1,0)+1)*$AI19</f>
        <v>0</v>
      </c>
      <c r="SP19" s="2" cm="1">
        <f t="array" ref="SP19">INDEX(增益!$A$2:$Q$40,SH19,MATCH(SP$8,增益!$B$1:$Q$1,0)+1)*$AI19</f>
        <v>0</v>
      </c>
      <c r="SQ19" s="2" cm="1">
        <f t="array" ref="SQ19">INDEX(增益!$A$2:$Q$40,SH19,MATCH(SQ$8,增益!$B$1:$Q$1,0)+1)*$AI19</f>
        <v>0</v>
      </c>
      <c r="SR19" s="2" cm="1">
        <f t="array" ref="SR19">INDEX(增益!$A$2:$Q$40,SH19,MATCH(SR$8,增益!$B$1:$Q$1,0)+1)*$AI19</f>
        <v>0</v>
      </c>
      <c r="SY19" s="2" cm="1">
        <f t="array" ref="SY19">INDEX(增益!$A$2:$Q$40,SH19,MATCH(SY$8,增益!$B$1:$Q$1,0)+1)*$AI19</f>
        <v>0</v>
      </c>
      <c r="SZ19" s="2" cm="1">
        <f t="array" ref="SZ19">INDEX(增益!$A$2:$Q$40,SH19,MATCH(SZ$8,增益!$B$1:$Q$1,0)+1)*$AI19</f>
        <v>0</v>
      </c>
      <c r="TA19" s="2" cm="1">
        <f t="array" ref="TA19">INDEX(增益!$A$2:$Q$40,SH19,MATCH(TA$8,增益!$B$1:$Q$1,0)+1)*$AI19</f>
        <v>0</v>
      </c>
      <c r="TC19" s="2" cm="1">
        <f t="array" ref="TC19">INDEX(增益!$A$2:$Q$40,SH19,MATCH(TC$8,增益!$B$1:$Q$1,0)+1)*$AI19</f>
        <v>0</v>
      </c>
      <c r="TE19" s="2" cm="1">
        <f t="array" ref="TE19">INDEX(增益!$A$2:$Q$40,SH19,MATCH(TE$8,增益!$B$1:$Q$1,0)+1)*$AI19</f>
        <v>0</v>
      </c>
      <c r="TF19" s="2" cm="1">
        <f t="array" ref="TF19">INDEX(增益!$A$2:$Q$40,SH19,MATCH(TF$8,增益!$B$1:$Q$1,0)+1)*$AI19</f>
        <v>0</v>
      </c>
      <c r="TJ19" s="2" cm="1">
        <f t="array" ref="TJ19">INDEX(云配队!$J24:$AC24,1,TJ$1)</f>
        <v>0</v>
      </c>
      <c r="TK19" s="2">
        <f>IFERROR(MATCH(TJ19,增益!$A$2:$A$40,FALSE),1)</f>
        <v>1</v>
      </c>
      <c r="TL19" s="2" cm="1">
        <f t="array" ref="TL19">INDEX(增益!$A$2:$Q$40,TK19,MATCH(TL$8,增益!$B$1:$Q$1,0)+1)*$AI19</f>
        <v>0</v>
      </c>
      <c r="TM19" s="2" cm="1">
        <f t="array" ref="TM19">INDEX(增益!$A$2:$Q$40,TK19,MATCH(TM$8,增益!$B$1:$Q$1,0)+1)*$AI19</f>
        <v>0</v>
      </c>
      <c r="TN19" s="2" cm="1">
        <f t="array" ref="TN19">INDEX(增益!$A$2:$Q$40,TK19,MATCH(TN$8,增益!$B$1:$Q$1,0)+1)*$AI19</f>
        <v>0</v>
      </c>
      <c r="TO19" s="2" cm="1">
        <f t="array" ref="TO19">INDEX(增益!$A$2:$Q$40,TK19,MATCH(TO$8,增益!$B$1:$Q$1,0)+1)*$AI19</f>
        <v>0</v>
      </c>
      <c r="TP19" s="2" cm="1">
        <f t="array" ref="TP19">INDEX(增益!$A$2:$Q$40,TK19,MATCH(TP$8,增益!$B$1:$Q$1,0)+1)*$AI19</f>
        <v>0</v>
      </c>
      <c r="TQ19" s="2" cm="1">
        <f t="array" ref="TQ19">INDEX(增益!$A$2:$Q$40,TK19,MATCH(TQ$8,增益!$B$1:$Q$1,0)+1)*$AI19</f>
        <v>0</v>
      </c>
      <c r="TR19" s="2" cm="1">
        <f t="array" ref="TR19">INDEX(增益!$A$2:$Q$40,TK19,MATCH(TR$8,增益!$B$1:$Q$1,0)+1)*$AI19</f>
        <v>0</v>
      </c>
      <c r="TS19" s="2" cm="1">
        <f t="array" ref="TS19">INDEX(增益!$A$2:$Q$40,TK19,MATCH(TS$8,增益!$B$1:$Q$1,0)+1)*$AI19</f>
        <v>0</v>
      </c>
      <c r="TT19" s="2" cm="1">
        <f t="array" ref="TT19">INDEX(增益!$A$2:$Q$40,TK19,MATCH(TT$8,增益!$B$1:$Q$1,0)+1)*$AI19</f>
        <v>0</v>
      </c>
      <c r="TU19" s="2" cm="1">
        <f t="array" ref="TU19">INDEX(增益!$A$2:$Q$40,TK19,MATCH(TU$8,增益!$B$1:$Q$1,0)+1)*$AI19</f>
        <v>0</v>
      </c>
      <c r="UB19" s="2" cm="1">
        <f t="array" ref="UB19">INDEX(增益!$A$2:$Q$40,TK19,MATCH(UB$8,增益!$B$1:$Q$1,0)+1)*$AI19</f>
        <v>0</v>
      </c>
      <c r="UC19" s="2" cm="1">
        <f t="array" ref="UC19">INDEX(增益!$A$2:$Q$40,TK19,MATCH(UC$8,增益!$B$1:$Q$1,0)+1)*$AI19</f>
        <v>0</v>
      </c>
      <c r="UD19" s="2" cm="1">
        <f t="array" ref="UD19">INDEX(增益!$A$2:$Q$40,TK19,MATCH(UD$8,增益!$B$1:$Q$1,0)+1)*$AI19</f>
        <v>0</v>
      </c>
      <c r="UF19" s="2" cm="1">
        <f t="array" ref="UF19">INDEX(增益!$A$2:$Q$40,TK19,MATCH(UF$8,增益!$B$1:$Q$1,0)+1)*$AI19</f>
        <v>0</v>
      </c>
      <c r="UH19" s="2" cm="1">
        <f t="array" ref="UH19">INDEX(增益!$A$2:$Q$40,TK19,MATCH(UH$8,增益!$B$1:$Q$1,0)+1)*$AI19</f>
        <v>0</v>
      </c>
      <c r="UI19" s="2" cm="1">
        <f t="array" ref="UI19">INDEX(增益!$A$2:$Q$40,TK19,MATCH(UI$8,增益!$B$1:$Q$1,0)+1)*$AI19</f>
        <v>0</v>
      </c>
      <c r="UM19" s="2" cm="1">
        <f t="array" ref="UM19">INDEX(云配队!$J24:$AC24,1,UM$1)</f>
        <v>0</v>
      </c>
      <c r="UN19" s="2">
        <f>IFERROR(MATCH(UM19,增益!$A$2:$A$40,FALSE),1)</f>
        <v>1</v>
      </c>
      <c r="UO19" s="2" cm="1">
        <f t="array" ref="UO19">INDEX(增益!$A$2:$Q$40,UN19,MATCH(UO$8,增益!$B$1:$Q$1,0)+1)*$AI19</f>
        <v>0</v>
      </c>
      <c r="UP19" s="2" cm="1">
        <f t="array" ref="UP19">INDEX(增益!$A$2:$Q$40,UN19,MATCH(UP$8,增益!$B$1:$Q$1,0)+1)*$AI19</f>
        <v>0</v>
      </c>
      <c r="UQ19" s="2" cm="1">
        <f t="array" ref="UQ19">INDEX(增益!$A$2:$Q$40,UN19,MATCH(UQ$8,增益!$B$1:$Q$1,0)+1)*$AI19</f>
        <v>0</v>
      </c>
      <c r="UR19" s="2" cm="1">
        <f t="array" ref="UR19">INDEX(增益!$A$2:$Q$40,UN19,MATCH(UR$8,增益!$B$1:$Q$1,0)+1)*$AI19</f>
        <v>0</v>
      </c>
      <c r="US19" s="2" cm="1">
        <f t="array" ref="US19">INDEX(增益!$A$2:$Q$40,UN19,MATCH(US$8,增益!$B$1:$Q$1,0)+1)*$AI19</f>
        <v>0</v>
      </c>
      <c r="UT19" s="2" cm="1">
        <f t="array" ref="UT19">INDEX(增益!$A$2:$Q$40,UN19,MATCH(UT$8,增益!$B$1:$Q$1,0)+1)*$AI19</f>
        <v>0</v>
      </c>
      <c r="UU19" s="2" cm="1">
        <f t="array" ref="UU19">INDEX(增益!$A$2:$Q$40,UN19,MATCH(UU$8,增益!$B$1:$Q$1,0)+1)*$AI19</f>
        <v>0</v>
      </c>
      <c r="UV19" s="2" cm="1">
        <f t="array" ref="UV19">INDEX(增益!$A$2:$Q$40,UN19,MATCH(UV$8,增益!$B$1:$Q$1,0)+1)*$AI19</f>
        <v>0</v>
      </c>
      <c r="UW19" s="2" cm="1">
        <f t="array" ref="UW19">INDEX(增益!$A$2:$Q$40,UN19,MATCH(UW$8,增益!$B$1:$Q$1,0)+1)*$AI19</f>
        <v>0</v>
      </c>
      <c r="UX19" s="2" cm="1">
        <f t="array" ref="UX19">INDEX(增益!$A$2:$Q$40,UN19,MATCH(UX$8,增益!$B$1:$Q$1,0)+1)*$AI19</f>
        <v>0</v>
      </c>
      <c r="VE19" s="2" cm="1">
        <f t="array" ref="VE19">INDEX(增益!$A$2:$Q$40,UN19,MATCH(VE$8,增益!$B$1:$Q$1,0)+1)*$AI19</f>
        <v>0</v>
      </c>
      <c r="VF19" s="2" cm="1">
        <f t="array" ref="VF19">INDEX(增益!$A$2:$Q$40,UN19,MATCH(VF$8,增益!$B$1:$Q$1,0)+1)*$AI19</f>
        <v>0</v>
      </c>
      <c r="VG19" s="2" cm="1">
        <f t="array" ref="VG19">INDEX(增益!$A$2:$Q$40,UN19,MATCH(VG$8,增益!$B$1:$Q$1,0)+1)*$AI19</f>
        <v>0</v>
      </c>
      <c r="VI19" s="2" cm="1">
        <f t="array" ref="VI19">INDEX(增益!$A$2:$Q$40,UN19,MATCH(VI$8,增益!$B$1:$Q$1,0)+1)*$AI19</f>
        <v>0</v>
      </c>
      <c r="VK19" s="2" cm="1">
        <f t="array" ref="VK19">INDEX(增益!$A$2:$Q$40,UN19,MATCH(VK$8,增益!$B$1:$Q$1,0)+1)*$AI19</f>
        <v>0</v>
      </c>
      <c r="VL19" s="2" cm="1">
        <f t="array" ref="VL19">INDEX(增益!$A$2:$Q$40,UN19,MATCH(VL$8,增益!$B$1:$Q$1,0)+1)*$AI19</f>
        <v>0</v>
      </c>
      <c r="VP19" s="2" cm="1">
        <f t="array" ref="VP19">INDEX(云配队!$J24:$AC24,1,VP$1)</f>
        <v>0</v>
      </c>
      <c r="VQ19" s="2">
        <f>IFERROR(MATCH(VP19,增益!$A$2:$A$40,FALSE),1)</f>
        <v>1</v>
      </c>
      <c r="VR19" s="2" cm="1">
        <f t="array" ref="VR19">INDEX(增益!$A$2:$Q$40,VQ19,MATCH(VR$8,增益!$B$1:$Q$1,0)+1)*$AI19</f>
        <v>0</v>
      </c>
      <c r="VS19" s="2" cm="1">
        <f t="array" ref="VS19">INDEX(增益!$A$2:$Q$40,VQ19,MATCH(VS$8,增益!$B$1:$Q$1,0)+1)*$AI19</f>
        <v>0</v>
      </c>
      <c r="VT19" s="2" cm="1">
        <f t="array" ref="VT19">INDEX(增益!$A$2:$Q$40,VQ19,MATCH(VT$8,增益!$B$1:$Q$1,0)+1)*$AI19</f>
        <v>0</v>
      </c>
      <c r="VU19" s="2" cm="1">
        <f t="array" ref="VU19">INDEX(增益!$A$2:$Q$40,VQ19,MATCH(VU$8,增益!$B$1:$Q$1,0)+1)*$AI19</f>
        <v>0</v>
      </c>
      <c r="VV19" s="2" cm="1">
        <f t="array" ref="VV19">INDEX(增益!$A$2:$Q$40,VQ19,MATCH(VV$8,增益!$B$1:$Q$1,0)+1)*$AI19</f>
        <v>0</v>
      </c>
      <c r="VW19" s="2" cm="1">
        <f t="array" ref="VW19">INDEX(增益!$A$2:$Q$40,VQ19,MATCH(VW$8,增益!$B$1:$Q$1,0)+1)*$AI19</f>
        <v>0</v>
      </c>
      <c r="VX19" s="2" cm="1">
        <f t="array" ref="VX19">INDEX(增益!$A$2:$Q$40,VQ19,MATCH(VX$8,增益!$B$1:$Q$1,0)+1)*$AI19</f>
        <v>0</v>
      </c>
      <c r="VY19" s="2" cm="1">
        <f t="array" ref="VY19">INDEX(增益!$A$2:$Q$40,VQ19,MATCH(VY$8,增益!$B$1:$Q$1,0)+1)*$AI19</f>
        <v>0</v>
      </c>
      <c r="VZ19" s="2" cm="1">
        <f t="array" ref="VZ19">INDEX(增益!$A$2:$Q$40,VQ19,MATCH(VZ$8,增益!$B$1:$Q$1,0)+1)*$AI19</f>
        <v>0</v>
      </c>
      <c r="WA19" s="2" cm="1">
        <f t="array" ref="WA19">INDEX(增益!$A$2:$Q$40,VQ19,MATCH(WA$8,增益!$B$1:$Q$1,0)+1)*$AI19</f>
        <v>0</v>
      </c>
      <c r="WH19" s="2" cm="1">
        <f t="array" ref="WH19">INDEX(增益!$A$2:$Q$40,VQ19,MATCH(WH$8,增益!$B$1:$Q$1,0)+1)*$AI19</f>
        <v>0</v>
      </c>
      <c r="WI19" s="2" cm="1">
        <f t="array" ref="WI19">INDEX(增益!$A$2:$Q$40,VQ19,MATCH(WI$8,增益!$B$1:$Q$1,0)+1)*$AI19</f>
        <v>0</v>
      </c>
      <c r="WJ19" s="2" cm="1">
        <f t="array" ref="WJ19">INDEX(增益!$A$2:$Q$40,VQ19,MATCH(WJ$8,增益!$B$1:$Q$1,0)+1)*$AI19</f>
        <v>0</v>
      </c>
      <c r="WL19" s="2" cm="1">
        <f t="array" ref="WL19">INDEX(增益!$A$2:$Q$40,VQ19,MATCH(WL$8,增益!$B$1:$Q$1,0)+1)*$AI19</f>
        <v>0</v>
      </c>
      <c r="WN19" s="2" cm="1">
        <f t="array" ref="WN19">INDEX(增益!$A$2:$Q$40,VQ19,MATCH(WN$8,增益!$B$1:$Q$1,0)+1)*$AI19</f>
        <v>0</v>
      </c>
      <c r="WO19" s="2" cm="1">
        <f t="array" ref="WO19">INDEX(增益!$A$2:$Q$40,VQ19,MATCH(WO$8,增益!$B$1:$Q$1,0)+1)*$AI19</f>
        <v>0</v>
      </c>
    </row>
    <row r="20" spans="35:616">
      <c r="AI20" s="2">
        <f>IF(云配队!H25&gt;0,云配队!H25,1)</f>
        <v>1</v>
      </c>
      <c r="AK20" s="2" cm="1">
        <f t="array" ref="AK20">INDEX(云配队!$J25:$AC25,1,AK$1)</f>
        <v>0</v>
      </c>
      <c r="AL20" s="2">
        <f>IFERROR(MATCH(AK20,增益!$A$2:$A$40,FALSE),1)</f>
        <v>1</v>
      </c>
      <c r="AM20" s="2" cm="1">
        <f t="array" ref="AM20">INDEX(增益!$A$2:$Q$40,AL20,MATCH(AM$8,增益!$B$1:$Q$1,0)+1)*$AI20</f>
        <v>0</v>
      </c>
      <c r="AN20" s="2" cm="1">
        <f t="array" ref="AN20">INDEX(增益!$A$2:$Q$40,AL20,MATCH(AN$8,增益!$B$1:$Q$1,0)+1)*$AI20</f>
        <v>0</v>
      </c>
      <c r="AO20" s="2" cm="1">
        <f t="array" ref="AO20">INDEX(增益!$A$2:$Q$40,AL20,MATCH(AO$8,增益!$B$1:$Q$1,0)+1)*$AI20</f>
        <v>0</v>
      </c>
      <c r="AP20" s="2" cm="1">
        <f t="array" ref="AP20">INDEX(增益!$A$2:$Q$40,AL20,MATCH(AP$8,增益!$B$1:$Q$1,0)+1)*$AI20</f>
        <v>0</v>
      </c>
      <c r="AQ20" s="2" cm="1">
        <f t="array" ref="AQ20">INDEX(增益!$A$2:$Q$40,AL20,MATCH(AQ$8,增益!$B$1:$Q$1,0)+1)*$AI20</f>
        <v>0</v>
      </c>
      <c r="AR20" s="2" cm="1">
        <f t="array" ref="AR20">INDEX(增益!$A$2:$Q$40,AL20,MATCH(AR$8,增益!$B$1:$Q$1,0)+1)*$AI20</f>
        <v>0</v>
      </c>
      <c r="AS20" s="2" cm="1">
        <f t="array" ref="AS20">INDEX(增益!$A$2:$Q$40,AL20,MATCH(AS$8,增益!$B$1:$Q$1,0)+1)*$AI20</f>
        <v>0</v>
      </c>
      <c r="AT20" s="2" cm="1">
        <f t="array" ref="AT20">INDEX(增益!$A$2:$Q$40,AL20,MATCH(AT$8,增益!$B$1:$Q$1,0)+1)*$AI20</f>
        <v>0</v>
      </c>
      <c r="AU20" s="2" cm="1">
        <f t="array" ref="AU20">INDEX(增益!$A$2:$Q$40,AL20,MATCH(AU$8,增益!$B$1:$Q$1,0)+1)*$AI20</f>
        <v>0</v>
      </c>
      <c r="AV20" s="2" cm="1">
        <f t="array" ref="AV20">INDEX(增益!$A$2:$Q$40,AL20,MATCH(AV$8,增益!$B$1:$Q$1,0)+1)*$AI20</f>
        <v>0</v>
      </c>
      <c r="BC20" s="2" cm="1">
        <f t="array" ref="BC20">INDEX(增益!$A$2:$Q$40,AL20,MATCH(BC$8,增益!$B$1:$Q$1,0)+1)*$AI20</f>
        <v>0</v>
      </c>
      <c r="BD20" s="2" cm="1">
        <f t="array" ref="BD20">INDEX(增益!$A$2:$Q$40,AL20,MATCH(BD$8,增益!$B$1:$Q$1,0)+1)*$AI20</f>
        <v>0</v>
      </c>
      <c r="BE20" s="2" cm="1">
        <f t="array" ref="BE20">INDEX(增益!$A$2:$Q$40,AL20,MATCH(BE$8,增益!$B$1:$Q$1,0)+1)*$AI20</f>
        <v>0</v>
      </c>
      <c r="BG20" s="2" cm="1">
        <f t="array" ref="BG20">INDEX(增益!$A$2:$Q$40,AL20,MATCH(BG$8,增益!$B$1:$Q$1,0)+1)*$AI20</f>
        <v>0</v>
      </c>
      <c r="BI20" s="2" cm="1">
        <f t="array" ref="BI20">INDEX(增益!$A$2:$Q$40,AL20,MATCH(BI$8,增益!$B$1:$Q$1,0)+1)*$AI20</f>
        <v>0</v>
      </c>
      <c r="BJ20" s="2" cm="1">
        <f t="array" ref="BJ20">INDEX(增益!$A$2:$Q$40,AL20,MATCH(BJ$8,增益!$B$1:$Q$1,0)+1)*$AI20</f>
        <v>0</v>
      </c>
      <c r="BN20" s="2" cm="1">
        <f t="array" ref="BN20">INDEX(云配队!$J25:$AC25,1,BN$1)</f>
        <v>0</v>
      </c>
      <c r="BO20" s="2">
        <f>IFERROR(MATCH(BN20,增益!$A$2:$A$40,FALSE),1)</f>
        <v>1</v>
      </c>
      <c r="BP20" s="2" cm="1">
        <f t="array" ref="BP20">INDEX(增益!$A$2:$Q$40,BO20,MATCH(BP$8,增益!$B$1:$Q$1,0)+1)*$AI20</f>
        <v>0</v>
      </c>
      <c r="BQ20" s="2" cm="1">
        <f t="array" ref="BQ20">INDEX(增益!$A$2:$Q$40,BO20,MATCH(BQ$8,增益!$B$1:$Q$1,0)+1)*$AI20</f>
        <v>0</v>
      </c>
      <c r="BR20" s="2" cm="1">
        <f t="array" ref="BR20">INDEX(增益!$A$2:$Q$40,BO20,MATCH(BR$8,增益!$B$1:$Q$1,0)+1)*$AI20</f>
        <v>0</v>
      </c>
      <c r="BS20" s="2" cm="1">
        <f t="array" ref="BS20">INDEX(增益!$A$2:$Q$40,BO20,MATCH(BS$8,增益!$B$1:$Q$1,0)+1)*$AI20</f>
        <v>0</v>
      </c>
      <c r="BT20" s="2" cm="1">
        <f t="array" ref="BT20">INDEX(增益!$A$2:$Q$40,BO20,MATCH(BT$8,增益!$B$1:$Q$1,0)+1)*$AI20</f>
        <v>0</v>
      </c>
      <c r="BU20" s="2" cm="1">
        <f t="array" ref="BU20">INDEX(增益!$A$2:$Q$40,BO20,MATCH(BU$8,增益!$B$1:$Q$1,0)+1)*$AI20</f>
        <v>0</v>
      </c>
      <c r="BV20" s="2" cm="1">
        <f t="array" ref="BV20">INDEX(增益!$A$2:$Q$40,BO20,MATCH(BV$8,增益!$B$1:$Q$1,0)+1)*$AI20</f>
        <v>0</v>
      </c>
      <c r="BW20" s="2" cm="1">
        <f t="array" ref="BW20">INDEX(增益!$A$2:$Q$40,BO20,MATCH(BW$8,增益!$B$1:$Q$1,0)+1)*$AI20</f>
        <v>0</v>
      </c>
      <c r="BX20" s="2" cm="1">
        <f t="array" ref="BX20">INDEX(增益!$A$2:$Q$40,BO20,MATCH(BX$8,增益!$B$1:$Q$1,0)+1)*$AI20</f>
        <v>0</v>
      </c>
      <c r="BY20" s="2" cm="1">
        <f t="array" ref="BY20">INDEX(增益!$A$2:$Q$40,BO20,MATCH(BY$8,增益!$B$1:$Q$1,0)+1)*$AI20</f>
        <v>0</v>
      </c>
      <c r="CF20" s="2" cm="1">
        <f t="array" ref="CF20">INDEX(增益!$A$2:$Q$40,BO20,MATCH(CF$8,增益!$B$1:$Q$1,0)+1)*$AI20</f>
        <v>0</v>
      </c>
      <c r="CG20" s="2" cm="1">
        <f t="array" ref="CG20">INDEX(增益!$A$2:$Q$40,BO20,MATCH(CG$8,增益!$B$1:$Q$1,0)+1)*$AI20</f>
        <v>0</v>
      </c>
      <c r="CH20" s="2" cm="1">
        <f t="array" ref="CH20">INDEX(增益!$A$2:$Q$40,BO20,MATCH(CH$8,增益!$B$1:$Q$1,0)+1)*$AI20</f>
        <v>0</v>
      </c>
      <c r="CJ20" s="2" cm="1">
        <f t="array" ref="CJ20">INDEX(增益!$A$2:$Q$40,BO20,MATCH(CJ$8,增益!$B$1:$Q$1,0)+1)*$AI20</f>
        <v>0</v>
      </c>
      <c r="CL20" s="2" cm="1">
        <f t="array" ref="CL20">INDEX(增益!$A$2:$Q$40,BO20,MATCH(CL$8,增益!$B$1:$Q$1,0)+1)*$AI20</f>
        <v>0</v>
      </c>
      <c r="CM20" s="2" cm="1">
        <f t="array" ref="CM20">INDEX(增益!$A$2:$Q$40,BO20,MATCH(CM$8,增益!$B$1:$Q$1,0)+1)*$AI20</f>
        <v>0</v>
      </c>
      <c r="CQ20" s="2" cm="1">
        <f t="array" ref="CQ20">INDEX(云配队!$J25:$AC25,1,CQ$1)</f>
        <v>0</v>
      </c>
      <c r="CR20" s="2">
        <f>IFERROR(MATCH(CQ20,增益!$A$2:$A$40,FALSE),1)</f>
        <v>1</v>
      </c>
      <c r="CS20" s="2" cm="1">
        <f t="array" ref="CS20">INDEX(增益!$A$2:$Q$40,CR20,MATCH(CS$8,增益!$B$1:$Q$1,0)+1)*$AI20</f>
        <v>0</v>
      </c>
      <c r="CT20" s="2" cm="1">
        <f t="array" ref="CT20">INDEX(增益!$A$2:$Q$40,CR20,MATCH(CT$8,增益!$B$1:$Q$1,0)+1)*$AI20</f>
        <v>0</v>
      </c>
      <c r="CU20" s="2" cm="1">
        <f t="array" ref="CU20">INDEX(增益!$A$2:$Q$40,CR20,MATCH(CU$8,增益!$B$1:$Q$1,0)+1)*$AI20</f>
        <v>0</v>
      </c>
      <c r="CV20" s="2" cm="1">
        <f t="array" ref="CV20">INDEX(增益!$A$2:$Q$40,CR20,MATCH(CV$8,增益!$B$1:$Q$1,0)+1)*$AI20</f>
        <v>0</v>
      </c>
      <c r="CW20" s="2" cm="1">
        <f t="array" ref="CW20">INDEX(增益!$A$2:$Q$40,CR20,MATCH(CW$8,增益!$B$1:$Q$1,0)+1)*$AI20</f>
        <v>0</v>
      </c>
      <c r="CX20" s="2" cm="1">
        <f t="array" ref="CX20">INDEX(增益!$A$2:$Q$40,CR20,MATCH(CX$8,增益!$B$1:$Q$1,0)+1)*$AI20</f>
        <v>0</v>
      </c>
      <c r="CY20" s="2" cm="1">
        <f t="array" ref="CY20">INDEX(增益!$A$2:$Q$40,CR20,MATCH(CY$8,增益!$B$1:$Q$1,0)+1)*$AI20</f>
        <v>0</v>
      </c>
      <c r="CZ20" s="2" cm="1">
        <f t="array" ref="CZ20">INDEX(增益!$A$2:$Q$40,CR20,MATCH(CZ$8,增益!$B$1:$Q$1,0)+1)*$AI20</f>
        <v>0</v>
      </c>
      <c r="DA20" s="2" cm="1">
        <f t="array" ref="DA20">INDEX(增益!$A$2:$Q$40,CR20,MATCH(DA$8,增益!$B$1:$Q$1,0)+1)*$AI20</f>
        <v>0</v>
      </c>
      <c r="DB20" s="2" cm="1">
        <f t="array" ref="DB20">INDEX(增益!$A$2:$Q$40,CR20,MATCH(DB$8,增益!$B$1:$Q$1,0)+1)*$AI20</f>
        <v>0</v>
      </c>
      <c r="DI20" s="2" cm="1">
        <f t="array" ref="DI20">INDEX(增益!$A$2:$Q$40,CR20,MATCH(DI$8,增益!$B$1:$Q$1,0)+1)*$AI20</f>
        <v>0</v>
      </c>
      <c r="DJ20" s="2" cm="1">
        <f t="array" ref="DJ20">INDEX(增益!$A$2:$Q$40,CR20,MATCH(DJ$8,增益!$B$1:$Q$1,0)+1)*$AI20</f>
        <v>0</v>
      </c>
      <c r="DK20" s="2" cm="1">
        <f t="array" ref="DK20">INDEX(增益!$A$2:$Q$40,CR20,MATCH(DK$8,增益!$B$1:$Q$1,0)+1)*$AI20</f>
        <v>0</v>
      </c>
      <c r="DM20" s="2" cm="1">
        <f t="array" ref="DM20">INDEX(增益!$A$2:$Q$40,CR20,MATCH(DM$8,增益!$B$1:$Q$1,0)+1)*$AI20</f>
        <v>0</v>
      </c>
      <c r="DO20" s="2" cm="1">
        <f t="array" ref="DO20">INDEX(增益!$A$2:$Q$40,CR20,MATCH(DO$8,增益!$B$1:$Q$1,0)+1)*$AI20</f>
        <v>0</v>
      </c>
      <c r="DP20" s="2" cm="1">
        <f t="array" ref="DP20">INDEX(增益!$A$2:$Q$40,CR20,MATCH(DP$8,增益!$B$1:$Q$1,0)+1)*$AI20</f>
        <v>0</v>
      </c>
      <c r="DT20" s="2" cm="1">
        <f t="array" ref="DT20">INDEX(云配队!$J25:$AC25,1,DT$1)</f>
        <v>0</v>
      </c>
      <c r="DU20" s="2">
        <f>IFERROR(MATCH(DT20,增益!$A$2:$A$40,FALSE),1)</f>
        <v>1</v>
      </c>
      <c r="DV20" s="2" cm="1">
        <f t="array" ref="DV20">INDEX(增益!$A$2:$Q$40,DU20,MATCH(DV$8,增益!$B$1:$Q$1,0)+1)*$AI20</f>
        <v>0</v>
      </c>
      <c r="DW20" s="2" cm="1">
        <f t="array" ref="DW20">INDEX(增益!$A$2:$Q$40,DU20,MATCH(DW$8,增益!$B$1:$Q$1,0)+1)*$AI20</f>
        <v>0</v>
      </c>
      <c r="DX20" s="2" cm="1">
        <f t="array" ref="DX20">INDEX(增益!$A$2:$Q$40,DU20,MATCH(DX$8,增益!$B$1:$Q$1,0)+1)*$AI20</f>
        <v>0</v>
      </c>
      <c r="DY20" s="2" cm="1">
        <f t="array" ref="DY20">INDEX(增益!$A$2:$Q$40,DU20,MATCH(DY$8,增益!$B$1:$Q$1,0)+1)*$AI20</f>
        <v>0</v>
      </c>
      <c r="DZ20" s="2" cm="1">
        <f t="array" ref="DZ20">INDEX(增益!$A$2:$Q$40,DU20,MATCH(DZ$8,增益!$B$1:$Q$1,0)+1)*$AI20</f>
        <v>0</v>
      </c>
      <c r="EA20" s="2" cm="1">
        <f t="array" ref="EA20">INDEX(增益!$A$2:$Q$40,DU20,MATCH(EA$8,增益!$B$1:$Q$1,0)+1)*$AI20</f>
        <v>0</v>
      </c>
      <c r="EB20" s="2" cm="1">
        <f t="array" ref="EB20">INDEX(增益!$A$2:$Q$40,DU20,MATCH(EB$8,增益!$B$1:$Q$1,0)+1)*$AI20</f>
        <v>0</v>
      </c>
      <c r="EC20" s="2" cm="1">
        <f t="array" ref="EC20">INDEX(增益!$A$2:$Q$40,DU20,MATCH(EC$8,增益!$B$1:$Q$1,0)+1)*$AI20</f>
        <v>0</v>
      </c>
      <c r="ED20" s="2" cm="1">
        <f t="array" ref="ED20">INDEX(增益!$A$2:$Q$40,DU20,MATCH(ED$8,增益!$B$1:$Q$1,0)+1)*$AI20</f>
        <v>0</v>
      </c>
      <c r="EE20" s="2" cm="1">
        <f t="array" ref="EE20">INDEX(增益!$A$2:$Q$40,DU20,MATCH(EE$8,增益!$B$1:$Q$1,0)+1)*$AI20</f>
        <v>0</v>
      </c>
      <c r="EL20" s="2" cm="1">
        <f t="array" ref="EL20">INDEX(增益!$A$2:$Q$40,DU20,MATCH(EL$8,增益!$B$1:$Q$1,0)+1)*$AI20</f>
        <v>0</v>
      </c>
      <c r="EM20" s="2" cm="1">
        <f t="array" ref="EM20">INDEX(增益!$A$2:$Q$40,DU20,MATCH(EM$8,增益!$B$1:$Q$1,0)+1)*$AI20</f>
        <v>0</v>
      </c>
      <c r="EN20" s="2" cm="1">
        <f t="array" ref="EN20">INDEX(增益!$A$2:$Q$40,DU20,MATCH(EN$8,增益!$B$1:$Q$1,0)+1)*$AI20</f>
        <v>0</v>
      </c>
      <c r="EP20" s="2" cm="1">
        <f t="array" ref="EP20">INDEX(增益!$A$2:$Q$40,DU20,MATCH(EP$8,增益!$B$1:$Q$1,0)+1)*$AI20</f>
        <v>0</v>
      </c>
      <c r="ER20" s="2" cm="1">
        <f t="array" ref="ER20">INDEX(增益!$A$2:$Q$40,DU20,MATCH(ER$8,增益!$B$1:$Q$1,0)+1)*$AI20</f>
        <v>0</v>
      </c>
      <c r="ES20" s="2" cm="1">
        <f t="array" ref="ES20">INDEX(增益!$A$2:$Q$40,DU20,MATCH(ES$8,增益!$B$1:$Q$1,0)+1)*$AI20</f>
        <v>0</v>
      </c>
      <c r="EW20" s="2" cm="1">
        <f t="array" ref="EW20">INDEX(云配队!$J25:$AC25,1,EW$1)</f>
        <v>0</v>
      </c>
      <c r="EX20" s="2">
        <f>IFERROR(MATCH(EW20,增益!$A$2:$A$40,FALSE),1)</f>
        <v>1</v>
      </c>
      <c r="EY20" s="2" cm="1">
        <f t="array" ref="EY20">INDEX(增益!$A$2:$Q$40,EX20,MATCH(EY$8,增益!$B$1:$Q$1,0)+1)*$AI20</f>
        <v>0</v>
      </c>
      <c r="EZ20" s="2" cm="1">
        <f t="array" ref="EZ20">INDEX(增益!$A$2:$Q$40,EX20,MATCH(EZ$8,增益!$B$1:$Q$1,0)+1)*$AI20</f>
        <v>0</v>
      </c>
      <c r="FA20" s="2" cm="1">
        <f t="array" ref="FA20">INDEX(增益!$A$2:$Q$40,EX20,MATCH(FA$8,增益!$B$1:$Q$1,0)+1)*$AI20</f>
        <v>0</v>
      </c>
      <c r="FB20" s="2" cm="1">
        <f t="array" ref="FB20">INDEX(增益!$A$2:$Q$40,EX20,MATCH(FB$8,增益!$B$1:$Q$1,0)+1)*$AI20</f>
        <v>0</v>
      </c>
      <c r="FC20" s="2" cm="1">
        <f t="array" ref="FC20">INDEX(增益!$A$2:$Q$40,EX20,MATCH(FC$8,增益!$B$1:$Q$1,0)+1)*$AI20</f>
        <v>0</v>
      </c>
      <c r="FD20" s="2" cm="1">
        <f t="array" ref="FD20">INDEX(增益!$A$2:$Q$40,EX20,MATCH(FD$8,增益!$B$1:$Q$1,0)+1)*$AI20</f>
        <v>0</v>
      </c>
      <c r="FE20" s="2" cm="1">
        <f t="array" ref="FE20">INDEX(增益!$A$2:$Q$40,EX20,MATCH(FE$8,增益!$B$1:$Q$1,0)+1)*$AI20</f>
        <v>0</v>
      </c>
      <c r="FF20" s="2" cm="1">
        <f t="array" ref="FF20">INDEX(增益!$A$2:$Q$40,EX20,MATCH(FF$8,增益!$B$1:$Q$1,0)+1)*$AI20</f>
        <v>0</v>
      </c>
      <c r="FG20" s="2" cm="1">
        <f t="array" ref="FG20">INDEX(增益!$A$2:$Q$40,EX20,MATCH(FG$8,增益!$B$1:$Q$1,0)+1)*$AI20</f>
        <v>0</v>
      </c>
      <c r="FH20" s="2" cm="1">
        <f t="array" ref="FH20">INDEX(增益!$A$2:$Q$40,EX20,MATCH(FH$8,增益!$B$1:$Q$1,0)+1)*$AI20</f>
        <v>0</v>
      </c>
      <c r="FO20" s="2" cm="1">
        <f t="array" ref="FO20">INDEX(增益!$A$2:$Q$40,EX20,MATCH(FO$8,增益!$B$1:$Q$1,0)+1)*$AI20</f>
        <v>0</v>
      </c>
      <c r="FP20" s="2" cm="1">
        <f t="array" ref="FP20">INDEX(增益!$A$2:$Q$40,EX20,MATCH(FP$8,增益!$B$1:$Q$1,0)+1)*$AI20</f>
        <v>0</v>
      </c>
      <c r="FQ20" s="2" cm="1">
        <f t="array" ref="FQ20">INDEX(增益!$A$2:$Q$40,EX20,MATCH(FQ$8,增益!$B$1:$Q$1,0)+1)*$AI20</f>
        <v>0</v>
      </c>
      <c r="FS20" s="2" cm="1">
        <f t="array" ref="FS20">INDEX(增益!$A$2:$Q$40,EX20,MATCH(FS$8,增益!$B$1:$Q$1,0)+1)*$AI20</f>
        <v>0</v>
      </c>
      <c r="FU20" s="2" cm="1">
        <f t="array" ref="FU20">INDEX(增益!$A$2:$Q$40,EX20,MATCH(FU$8,增益!$B$1:$Q$1,0)+1)*$AI20</f>
        <v>0</v>
      </c>
      <c r="FV20" s="2" cm="1">
        <f t="array" ref="FV20">INDEX(增益!$A$2:$Q$40,EX20,MATCH(FV$8,增益!$B$1:$Q$1,0)+1)*$AI20</f>
        <v>0</v>
      </c>
      <c r="FZ20" s="2" cm="1">
        <f t="array" ref="FZ20">INDEX(云配队!$J25:$AC25,1,FZ$1)</f>
        <v>0</v>
      </c>
      <c r="GA20" s="2">
        <f>IFERROR(MATCH(FZ20,增益!$A$2:$A$40,FALSE),1)</f>
        <v>1</v>
      </c>
      <c r="GB20" s="2" cm="1">
        <f t="array" ref="GB20">INDEX(增益!$A$2:$Q$40,GA20,MATCH(GB$8,增益!$B$1:$Q$1,0)+1)*$AI20</f>
        <v>0</v>
      </c>
      <c r="GC20" s="2" cm="1">
        <f t="array" ref="GC20">INDEX(增益!$A$2:$Q$40,GA20,MATCH(GC$8,增益!$B$1:$Q$1,0)+1)*$AI20</f>
        <v>0</v>
      </c>
      <c r="GD20" s="2" cm="1">
        <f t="array" ref="GD20">INDEX(增益!$A$2:$Q$40,GA20,MATCH(GD$8,增益!$B$1:$Q$1,0)+1)*$AI20</f>
        <v>0</v>
      </c>
      <c r="GE20" s="2" cm="1">
        <f t="array" ref="GE20">INDEX(增益!$A$2:$Q$40,GA20,MATCH(GE$8,增益!$B$1:$Q$1,0)+1)*$AI20</f>
        <v>0</v>
      </c>
      <c r="GF20" s="2" cm="1">
        <f t="array" ref="GF20">INDEX(增益!$A$2:$Q$40,GA20,MATCH(GF$8,增益!$B$1:$Q$1,0)+1)*$AI20</f>
        <v>0</v>
      </c>
      <c r="GG20" s="2" cm="1">
        <f t="array" ref="GG20">INDEX(增益!$A$2:$Q$40,GA20,MATCH(GG$8,增益!$B$1:$Q$1,0)+1)*$AI20</f>
        <v>0</v>
      </c>
      <c r="GH20" s="2" cm="1">
        <f t="array" ref="GH20">INDEX(增益!$A$2:$Q$40,GA20,MATCH(GH$8,增益!$B$1:$Q$1,0)+1)*$AI20</f>
        <v>0</v>
      </c>
      <c r="GI20" s="2" cm="1">
        <f t="array" ref="GI20">INDEX(增益!$A$2:$Q$40,GA20,MATCH(GI$8,增益!$B$1:$Q$1,0)+1)*$AI20</f>
        <v>0</v>
      </c>
      <c r="GJ20" s="2" cm="1">
        <f t="array" ref="GJ20">INDEX(增益!$A$2:$Q$40,GA20,MATCH(GJ$8,增益!$B$1:$Q$1,0)+1)*$AI20</f>
        <v>0</v>
      </c>
      <c r="GK20" s="2" cm="1">
        <f t="array" ref="GK20">INDEX(增益!$A$2:$Q$40,GA20,MATCH(GK$8,增益!$B$1:$Q$1,0)+1)*$AI20</f>
        <v>0</v>
      </c>
      <c r="GR20" s="2" cm="1">
        <f t="array" ref="GR20">INDEX(增益!$A$2:$Q$40,GA20,MATCH(GR$8,增益!$B$1:$Q$1,0)+1)*$AI20</f>
        <v>0</v>
      </c>
      <c r="GS20" s="2" cm="1">
        <f t="array" ref="GS20">INDEX(增益!$A$2:$Q$40,GA20,MATCH(GS$8,增益!$B$1:$Q$1,0)+1)*$AI20</f>
        <v>0</v>
      </c>
      <c r="GT20" s="2" cm="1">
        <f t="array" ref="GT20">INDEX(增益!$A$2:$Q$40,GA20,MATCH(GT$8,增益!$B$1:$Q$1,0)+1)*$AI20</f>
        <v>0</v>
      </c>
      <c r="GV20" s="2" cm="1">
        <f t="array" ref="GV20">INDEX(增益!$A$2:$Q$40,GA20,MATCH(GV$8,增益!$B$1:$Q$1,0)+1)*$AI20</f>
        <v>0</v>
      </c>
      <c r="GX20" s="2" cm="1">
        <f t="array" ref="GX20">INDEX(增益!$A$2:$Q$40,GA20,MATCH(GX$8,增益!$B$1:$Q$1,0)+1)*$AI20</f>
        <v>0</v>
      </c>
      <c r="GY20" s="2" cm="1">
        <f t="array" ref="GY20">INDEX(增益!$A$2:$Q$40,GA20,MATCH(GY$8,增益!$B$1:$Q$1,0)+1)*$AI20</f>
        <v>0</v>
      </c>
      <c r="HC20" s="2" cm="1">
        <f t="array" ref="HC20">INDEX(云配队!$J25:$AC25,1,HC$1)</f>
        <v>0</v>
      </c>
      <c r="HD20" s="2">
        <f>IFERROR(MATCH(HC20,增益!$A$2:$A$40,FALSE),1)</f>
        <v>1</v>
      </c>
      <c r="HE20" s="2" cm="1">
        <f t="array" ref="HE20">INDEX(增益!$A$2:$Q$40,HD20,MATCH(HE$8,增益!$B$1:$Q$1,0)+1)*$AI20</f>
        <v>0</v>
      </c>
      <c r="HF20" s="2" cm="1">
        <f t="array" ref="HF20">INDEX(增益!$A$2:$Q$40,HD20,MATCH(HF$8,增益!$B$1:$Q$1,0)+1)*$AI20</f>
        <v>0</v>
      </c>
      <c r="HG20" s="2" cm="1">
        <f t="array" ref="HG20">INDEX(增益!$A$2:$Q$40,HD20,MATCH(HG$8,增益!$B$1:$Q$1,0)+1)*$AI20</f>
        <v>0</v>
      </c>
      <c r="HH20" s="2" cm="1">
        <f t="array" ref="HH20">INDEX(增益!$A$2:$Q$40,HD20,MATCH(HH$8,增益!$B$1:$Q$1,0)+1)*$AI20</f>
        <v>0</v>
      </c>
      <c r="HI20" s="2" cm="1">
        <f t="array" ref="HI20">INDEX(增益!$A$2:$Q$40,HD20,MATCH(HI$8,增益!$B$1:$Q$1,0)+1)*$AI20</f>
        <v>0</v>
      </c>
      <c r="HJ20" s="2" cm="1">
        <f t="array" ref="HJ20">INDEX(增益!$A$2:$Q$40,HD20,MATCH(HJ$8,增益!$B$1:$Q$1,0)+1)*$AI20</f>
        <v>0</v>
      </c>
      <c r="HK20" s="2" cm="1">
        <f t="array" ref="HK20">INDEX(增益!$A$2:$Q$40,HD20,MATCH(HK$8,增益!$B$1:$Q$1,0)+1)*$AI20</f>
        <v>0</v>
      </c>
      <c r="HL20" s="2" cm="1">
        <f t="array" ref="HL20">INDEX(增益!$A$2:$Q$40,HD20,MATCH(HL$8,增益!$B$1:$Q$1,0)+1)*$AI20</f>
        <v>0</v>
      </c>
      <c r="HM20" s="2" cm="1">
        <f t="array" ref="HM20">INDEX(增益!$A$2:$Q$40,HD20,MATCH(HM$8,增益!$B$1:$Q$1,0)+1)*$AI20</f>
        <v>0</v>
      </c>
      <c r="HN20" s="2" cm="1">
        <f t="array" ref="HN20">INDEX(增益!$A$2:$Q$40,HD20,MATCH(HN$8,增益!$B$1:$Q$1,0)+1)*$AI20</f>
        <v>0</v>
      </c>
      <c r="HU20" s="2" cm="1">
        <f t="array" ref="HU20">INDEX(增益!$A$2:$Q$40,HD20,MATCH(HU$8,增益!$B$1:$Q$1,0)+1)*$AI20</f>
        <v>0</v>
      </c>
      <c r="HV20" s="2" cm="1">
        <f t="array" ref="HV20">INDEX(增益!$A$2:$Q$40,HD20,MATCH(HV$8,增益!$B$1:$Q$1,0)+1)*$AI20</f>
        <v>0</v>
      </c>
      <c r="HW20" s="2" cm="1">
        <f t="array" ref="HW20">INDEX(增益!$A$2:$Q$40,HD20,MATCH(HW$8,增益!$B$1:$Q$1,0)+1)*$AI20</f>
        <v>0</v>
      </c>
      <c r="HY20" s="2" cm="1">
        <f t="array" ref="HY20">INDEX(增益!$A$2:$Q$40,HD20,MATCH(HY$8,增益!$B$1:$Q$1,0)+1)*$AI20</f>
        <v>0</v>
      </c>
      <c r="IA20" s="2" cm="1">
        <f t="array" ref="IA20">INDEX(增益!$A$2:$Q$40,HD20,MATCH(IA$8,增益!$B$1:$Q$1,0)+1)*$AI20</f>
        <v>0</v>
      </c>
      <c r="IB20" s="2" cm="1">
        <f t="array" ref="IB20">INDEX(增益!$A$2:$Q$40,HD20,MATCH(IB$8,增益!$B$1:$Q$1,0)+1)*$AI20</f>
        <v>0</v>
      </c>
      <c r="IF20" s="2" cm="1">
        <f t="array" ref="IF20">INDEX(云配队!$J25:$AC25,1,IF$1)</f>
        <v>0</v>
      </c>
      <c r="IG20" s="2">
        <f>IFERROR(MATCH(IF20,增益!$A$2:$A$40,FALSE),1)</f>
        <v>1</v>
      </c>
      <c r="IH20" s="2" cm="1">
        <f t="array" ref="IH20">INDEX(增益!$A$2:$Q$40,IG20,MATCH(IH$8,增益!$B$1:$Q$1,0)+1)*$AI20</f>
        <v>0</v>
      </c>
      <c r="II20" s="2" cm="1">
        <f t="array" ref="II20">INDEX(增益!$A$2:$Q$40,IG20,MATCH(II$8,增益!$B$1:$Q$1,0)+1)*$AI20</f>
        <v>0</v>
      </c>
      <c r="IJ20" s="2" cm="1">
        <f t="array" ref="IJ20">INDEX(增益!$A$2:$Q$40,IG20,MATCH(IJ$8,增益!$B$1:$Q$1,0)+1)*$AI20</f>
        <v>0</v>
      </c>
      <c r="IK20" s="2" cm="1">
        <f t="array" ref="IK20">INDEX(增益!$A$2:$Q$40,IG20,MATCH(IK$8,增益!$B$1:$Q$1,0)+1)*$AI20</f>
        <v>0</v>
      </c>
      <c r="IL20" s="2" cm="1">
        <f t="array" ref="IL20">INDEX(增益!$A$2:$Q$40,IG20,MATCH(IL$8,增益!$B$1:$Q$1,0)+1)*$AI20</f>
        <v>0</v>
      </c>
      <c r="IM20" s="2" cm="1">
        <f t="array" ref="IM20">INDEX(增益!$A$2:$Q$40,IG20,MATCH(IM$8,增益!$B$1:$Q$1,0)+1)*$AI20</f>
        <v>0</v>
      </c>
      <c r="IN20" s="2" cm="1">
        <f t="array" ref="IN20">INDEX(增益!$A$2:$Q$40,IG20,MATCH(IN$8,增益!$B$1:$Q$1,0)+1)*$AI20</f>
        <v>0</v>
      </c>
      <c r="IO20" s="2" cm="1">
        <f t="array" ref="IO20">INDEX(增益!$A$2:$Q$40,IG20,MATCH(IO$8,增益!$B$1:$Q$1,0)+1)*$AI20</f>
        <v>0</v>
      </c>
      <c r="IP20" s="2" cm="1">
        <f t="array" ref="IP20">INDEX(增益!$A$2:$Q$40,IG20,MATCH(IP$8,增益!$B$1:$Q$1,0)+1)*$AI20</f>
        <v>0</v>
      </c>
      <c r="IQ20" s="2" cm="1">
        <f t="array" ref="IQ20">INDEX(增益!$A$2:$Q$40,IG20,MATCH(IQ$8,增益!$B$1:$Q$1,0)+1)*$AI20</f>
        <v>0</v>
      </c>
      <c r="IX20" s="2" cm="1">
        <f t="array" ref="IX20">INDEX(增益!$A$2:$Q$40,IG20,MATCH(IX$8,增益!$B$1:$Q$1,0)+1)*$AI20</f>
        <v>0</v>
      </c>
      <c r="IY20" s="2" cm="1">
        <f t="array" ref="IY20">INDEX(增益!$A$2:$Q$40,IG20,MATCH(IY$8,增益!$B$1:$Q$1,0)+1)*$AI20</f>
        <v>0</v>
      </c>
      <c r="IZ20" s="2" cm="1">
        <f t="array" ref="IZ20">INDEX(增益!$A$2:$Q$40,IG20,MATCH(IZ$8,增益!$B$1:$Q$1,0)+1)*$AI20</f>
        <v>0</v>
      </c>
      <c r="JB20" s="2" cm="1">
        <f t="array" ref="JB20">INDEX(增益!$A$2:$Q$40,IG20,MATCH(JB$8,增益!$B$1:$Q$1,0)+1)*$AI20</f>
        <v>0</v>
      </c>
      <c r="JD20" s="2" cm="1">
        <f t="array" ref="JD20">INDEX(增益!$A$2:$Q$40,IG20,MATCH(JD$8,增益!$B$1:$Q$1,0)+1)*$AI20</f>
        <v>0</v>
      </c>
      <c r="JE20" s="2" cm="1">
        <f t="array" ref="JE20">INDEX(增益!$A$2:$Q$40,IG20,MATCH(JE$8,增益!$B$1:$Q$1,0)+1)*$AI20</f>
        <v>0</v>
      </c>
      <c r="JI20" s="2" cm="1">
        <f t="array" ref="JI20">INDEX(云配队!$J25:$AC25,1,JI$1)</f>
        <v>0</v>
      </c>
      <c r="JJ20" s="2">
        <f>IFERROR(MATCH(JI20,增益!$A$2:$A$40,FALSE),1)</f>
        <v>1</v>
      </c>
      <c r="JK20" s="2" cm="1">
        <f t="array" ref="JK20">INDEX(增益!$A$2:$Q$40,JJ20,MATCH(JK$8,增益!$B$1:$Q$1,0)+1)*$AI20</f>
        <v>0</v>
      </c>
      <c r="JL20" s="2" cm="1">
        <f t="array" ref="JL20">INDEX(增益!$A$2:$Q$40,JJ20,MATCH(JL$8,增益!$B$1:$Q$1,0)+1)*$AI20</f>
        <v>0</v>
      </c>
      <c r="JM20" s="2" cm="1">
        <f t="array" ref="JM20">INDEX(增益!$A$2:$Q$40,JJ20,MATCH(JM$8,增益!$B$1:$Q$1,0)+1)*$AI20</f>
        <v>0</v>
      </c>
      <c r="JN20" s="2" cm="1">
        <f t="array" ref="JN20">INDEX(增益!$A$2:$Q$40,JJ20,MATCH(JN$8,增益!$B$1:$Q$1,0)+1)*$AI20</f>
        <v>0</v>
      </c>
      <c r="JO20" s="2" cm="1">
        <f t="array" ref="JO20">INDEX(增益!$A$2:$Q$40,JJ20,MATCH(JO$8,增益!$B$1:$Q$1,0)+1)*$AI20</f>
        <v>0</v>
      </c>
      <c r="JP20" s="2" cm="1">
        <f t="array" ref="JP20">INDEX(增益!$A$2:$Q$40,JJ20,MATCH(JP$8,增益!$B$1:$Q$1,0)+1)*$AI20</f>
        <v>0</v>
      </c>
      <c r="JQ20" s="2" cm="1">
        <f t="array" ref="JQ20">INDEX(增益!$A$2:$Q$40,JJ20,MATCH(JQ$8,增益!$B$1:$Q$1,0)+1)*$AI20</f>
        <v>0</v>
      </c>
      <c r="JR20" s="2" cm="1">
        <f t="array" ref="JR20">INDEX(增益!$A$2:$Q$40,JJ20,MATCH(JR$8,增益!$B$1:$Q$1,0)+1)*$AI20</f>
        <v>0</v>
      </c>
      <c r="JS20" s="2" cm="1">
        <f t="array" ref="JS20">INDEX(增益!$A$2:$Q$40,JJ20,MATCH(JS$8,增益!$B$1:$Q$1,0)+1)*$AI20</f>
        <v>0</v>
      </c>
      <c r="JT20" s="2" cm="1">
        <f t="array" ref="JT20">INDEX(增益!$A$2:$Q$40,JJ20,MATCH(JT$8,增益!$B$1:$Q$1,0)+1)*$AI20</f>
        <v>0</v>
      </c>
      <c r="KA20" s="2" cm="1">
        <f t="array" ref="KA20">INDEX(增益!$A$2:$Q$40,JJ20,MATCH(KA$8,增益!$B$1:$Q$1,0)+1)*$AI20</f>
        <v>0</v>
      </c>
      <c r="KB20" s="2" cm="1">
        <f t="array" ref="KB20">INDEX(增益!$A$2:$Q$40,JJ20,MATCH(KB$8,增益!$B$1:$Q$1,0)+1)*$AI20</f>
        <v>0</v>
      </c>
      <c r="KC20" s="2" cm="1">
        <f t="array" ref="KC20">INDEX(增益!$A$2:$Q$40,JJ20,MATCH(KC$8,增益!$B$1:$Q$1,0)+1)*$AI20</f>
        <v>0</v>
      </c>
      <c r="KE20" s="2" cm="1">
        <f t="array" ref="KE20">INDEX(增益!$A$2:$Q$40,JJ20,MATCH(KE$8,增益!$B$1:$Q$1,0)+1)*$AI20</f>
        <v>0</v>
      </c>
      <c r="KG20" s="2" cm="1">
        <f t="array" ref="KG20">INDEX(增益!$A$2:$Q$40,JJ20,MATCH(KG$8,增益!$B$1:$Q$1,0)+1)*$AI20</f>
        <v>0</v>
      </c>
      <c r="KH20" s="2" cm="1">
        <f t="array" ref="KH20">INDEX(增益!$A$2:$Q$40,JJ20,MATCH(KH$8,增益!$B$1:$Q$1,0)+1)*$AI20</f>
        <v>0</v>
      </c>
      <c r="KL20" s="2" cm="1">
        <f t="array" ref="KL20">INDEX(云配队!$J25:$AC25,1,KL$1)</f>
        <v>0</v>
      </c>
      <c r="KM20" s="2">
        <f>IFERROR(MATCH(KL20,增益!$A$2:$A$40,FALSE),1)</f>
        <v>1</v>
      </c>
      <c r="KN20" s="2" cm="1">
        <f t="array" ref="KN20">INDEX(增益!$A$2:$Q$40,KM20,MATCH(KN$8,增益!$B$1:$Q$1,0)+1)*$AI20</f>
        <v>0</v>
      </c>
      <c r="KO20" s="2" cm="1">
        <f t="array" ref="KO20">INDEX(增益!$A$2:$Q$40,KM20,MATCH(KO$8,增益!$B$1:$Q$1,0)+1)*$AI20</f>
        <v>0</v>
      </c>
      <c r="KP20" s="2" cm="1">
        <f t="array" ref="KP20">INDEX(增益!$A$2:$Q$40,KM20,MATCH(KP$8,增益!$B$1:$Q$1,0)+1)*$AI20</f>
        <v>0</v>
      </c>
      <c r="KQ20" s="2" cm="1">
        <f t="array" ref="KQ20">INDEX(增益!$A$2:$Q$40,KM20,MATCH(KQ$8,增益!$B$1:$Q$1,0)+1)*$AI20</f>
        <v>0</v>
      </c>
      <c r="KR20" s="2" cm="1">
        <f t="array" ref="KR20">INDEX(增益!$A$2:$Q$40,KM20,MATCH(KR$8,增益!$B$1:$Q$1,0)+1)*$AI20</f>
        <v>0</v>
      </c>
      <c r="KS20" s="2" cm="1">
        <f t="array" ref="KS20">INDEX(增益!$A$2:$Q$40,KM20,MATCH(KS$8,增益!$B$1:$Q$1,0)+1)*$AI20</f>
        <v>0</v>
      </c>
      <c r="KT20" s="2" cm="1">
        <f t="array" ref="KT20">INDEX(增益!$A$2:$Q$40,KM20,MATCH(KT$8,增益!$B$1:$Q$1,0)+1)*$AI20</f>
        <v>0</v>
      </c>
      <c r="KU20" s="2" cm="1">
        <f t="array" ref="KU20">INDEX(增益!$A$2:$Q$40,KM20,MATCH(KU$8,增益!$B$1:$Q$1,0)+1)*$AI20</f>
        <v>0</v>
      </c>
      <c r="KV20" s="2" cm="1">
        <f t="array" ref="KV20">INDEX(增益!$A$2:$Q$40,KM20,MATCH(KV$8,增益!$B$1:$Q$1,0)+1)*$AI20</f>
        <v>0</v>
      </c>
      <c r="KW20" s="2" cm="1">
        <f t="array" ref="KW20">INDEX(增益!$A$2:$Q$40,KM20,MATCH(KW$8,增益!$B$1:$Q$1,0)+1)*$AI20</f>
        <v>0</v>
      </c>
      <c r="LD20" s="2" cm="1">
        <f t="array" ref="LD20">INDEX(增益!$A$2:$Q$40,KM20,MATCH(LD$8,增益!$B$1:$Q$1,0)+1)*$AI20</f>
        <v>0</v>
      </c>
      <c r="LE20" s="2" cm="1">
        <f t="array" ref="LE20">INDEX(增益!$A$2:$Q$40,KM20,MATCH(LE$8,增益!$B$1:$Q$1,0)+1)*$AI20</f>
        <v>0</v>
      </c>
      <c r="LF20" s="2" cm="1">
        <f t="array" ref="LF20">INDEX(增益!$A$2:$Q$40,KM20,MATCH(LF$8,增益!$B$1:$Q$1,0)+1)*$AI20</f>
        <v>0</v>
      </c>
      <c r="LH20" s="2" cm="1">
        <f t="array" ref="LH20">INDEX(增益!$A$2:$Q$40,KM20,MATCH(LH$8,增益!$B$1:$Q$1,0)+1)*$AI20</f>
        <v>0</v>
      </c>
      <c r="LJ20" s="2" cm="1">
        <f t="array" ref="LJ20">INDEX(增益!$A$2:$Q$40,KM20,MATCH(LJ$8,增益!$B$1:$Q$1,0)+1)*$AI20</f>
        <v>0</v>
      </c>
      <c r="LK20" s="2" cm="1">
        <f t="array" ref="LK20">INDEX(增益!$A$2:$Q$40,KM20,MATCH(LK$8,增益!$B$1:$Q$1,0)+1)*$AI20</f>
        <v>0</v>
      </c>
      <c r="LO20" s="2" cm="1">
        <f t="array" ref="LO20">INDEX(云配队!$J25:$AC25,1,LO$1)</f>
        <v>0</v>
      </c>
      <c r="LP20" s="2">
        <f>IFERROR(MATCH(LO20,增益!$A$2:$A$40,FALSE),1)</f>
        <v>1</v>
      </c>
      <c r="LQ20" s="2" cm="1">
        <f t="array" ref="LQ20">INDEX(增益!$A$2:$Q$40,LP20,MATCH(LQ$8,增益!$B$1:$Q$1,0)+1)*$AI20</f>
        <v>0</v>
      </c>
      <c r="LR20" s="2" cm="1">
        <f t="array" ref="LR20">INDEX(增益!$A$2:$Q$40,LP20,MATCH(LR$8,增益!$B$1:$Q$1,0)+1)*$AI20</f>
        <v>0</v>
      </c>
      <c r="LS20" s="2" cm="1">
        <f t="array" ref="LS20">INDEX(增益!$A$2:$Q$40,LP20,MATCH(LS$8,增益!$B$1:$Q$1,0)+1)*$AI20</f>
        <v>0</v>
      </c>
      <c r="LT20" s="2" cm="1">
        <f t="array" ref="LT20">INDEX(增益!$A$2:$Q$40,LP20,MATCH(LT$8,增益!$B$1:$Q$1,0)+1)*$AI20</f>
        <v>0</v>
      </c>
      <c r="LU20" s="2" cm="1">
        <f t="array" ref="LU20">INDEX(增益!$A$2:$Q$40,LP20,MATCH(LU$8,增益!$B$1:$Q$1,0)+1)*$AI20</f>
        <v>0</v>
      </c>
      <c r="LV20" s="2" cm="1">
        <f t="array" ref="LV20">INDEX(增益!$A$2:$Q$40,LP20,MATCH(LV$8,增益!$B$1:$Q$1,0)+1)*$AI20</f>
        <v>0</v>
      </c>
      <c r="LW20" s="2" cm="1">
        <f t="array" ref="LW20">INDEX(增益!$A$2:$Q$40,LP20,MATCH(LW$8,增益!$B$1:$Q$1,0)+1)*$AI20</f>
        <v>0</v>
      </c>
      <c r="LX20" s="2" cm="1">
        <f t="array" ref="LX20">INDEX(增益!$A$2:$Q$40,LP20,MATCH(LX$8,增益!$B$1:$Q$1,0)+1)*$AI20</f>
        <v>0</v>
      </c>
      <c r="LY20" s="2" cm="1">
        <f t="array" ref="LY20">INDEX(增益!$A$2:$Q$40,LP20,MATCH(LY$8,增益!$B$1:$Q$1,0)+1)*$AI20</f>
        <v>0</v>
      </c>
      <c r="LZ20" s="2" cm="1">
        <f t="array" ref="LZ20">INDEX(增益!$A$2:$Q$40,LP20,MATCH(LZ$8,增益!$B$1:$Q$1,0)+1)*$AI20</f>
        <v>0</v>
      </c>
      <c r="MG20" s="2" cm="1">
        <f t="array" ref="MG20">INDEX(增益!$A$2:$Q$40,LP20,MATCH(MG$8,增益!$B$1:$Q$1,0)+1)*$AI20</f>
        <v>0</v>
      </c>
      <c r="MH20" s="2" cm="1">
        <f t="array" ref="MH20">INDEX(增益!$A$2:$Q$40,LP20,MATCH(MH$8,增益!$B$1:$Q$1,0)+1)*$AI20</f>
        <v>0</v>
      </c>
      <c r="MI20" s="2" cm="1">
        <f t="array" ref="MI20">INDEX(增益!$A$2:$Q$40,LP20,MATCH(MI$8,增益!$B$1:$Q$1,0)+1)*$AI20</f>
        <v>0</v>
      </c>
      <c r="MK20" s="2" cm="1">
        <f t="array" ref="MK20">INDEX(增益!$A$2:$Q$40,LP20,MATCH(MK$8,增益!$B$1:$Q$1,0)+1)*$AI20</f>
        <v>0</v>
      </c>
      <c r="MM20" s="2" cm="1">
        <f t="array" ref="MM20">INDEX(增益!$A$2:$Q$40,LP20,MATCH(MM$8,增益!$B$1:$Q$1,0)+1)*$AI20</f>
        <v>0</v>
      </c>
      <c r="MN20" s="2" cm="1">
        <f t="array" ref="MN20">INDEX(增益!$A$2:$Q$40,LP20,MATCH(MN$8,增益!$B$1:$Q$1,0)+1)*$AI20</f>
        <v>0</v>
      </c>
      <c r="MR20" s="2" cm="1">
        <f t="array" ref="MR20">INDEX(云配队!$J25:$AC25,1,MR$1)</f>
        <v>0</v>
      </c>
      <c r="MS20" s="2">
        <f>IFERROR(MATCH(MR20,增益!$A$2:$A$40,FALSE),1)</f>
        <v>1</v>
      </c>
      <c r="MT20" s="2" cm="1">
        <f t="array" ref="MT20">INDEX(增益!$A$2:$Q$40,MS20,MATCH(MT$8,增益!$B$1:$Q$1,0)+1)*$AI20</f>
        <v>0</v>
      </c>
      <c r="MU20" s="2" cm="1">
        <f t="array" ref="MU20">INDEX(增益!$A$2:$Q$40,MS20,MATCH(MU$8,增益!$B$1:$Q$1,0)+1)*$AI20</f>
        <v>0</v>
      </c>
      <c r="MV20" s="2" cm="1">
        <f t="array" ref="MV20">INDEX(增益!$A$2:$Q$40,MS20,MATCH(MV$8,增益!$B$1:$Q$1,0)+1)*$AI20</f>
        <v>0</v>
      </c>
      <c r="MW20" s="2" cm="1">
        <f t="array" ref="MW20">INDEX(增益!$A$2:$Q$40,MS20,MATCH(MW$8,增益!$B$1:$Q$1,0)+1)*$AI20</f>
        <v>0</v>
      </c>
      <c r="MX20" s="2" cm="1">
        <f t="array" ref="MX20">INDEX(增益!$A$2:$Q$40,MS20,MATCH(MX$8,增益!$B$1:$Q$1,0)+1)*$AI20</f>
        <v>0</v>
      </c>
      <c r="MY20" s="2" cm="1">
        <f t="array" ref="MY20">INDEX(增益!$A$2:$Q$40,MS20,MATCH(MY$8,增益!$B$1:$Q$1,0)+1)*$AI20</f>
        <v>0</v>
      </c>
      <c r="MZ20" s="2" cm="1">
        <f t="array" ref="MZ20">INDEX(增益!$A$2:$Q$40,MS20,MATCH(MZ$8,增益!$B$1:$Q$1,0)+1)*$AI20</f>
        <v>0</v>
      </c>
      <c r="NA20" s="2" cm="1">
        <f t="array" ref="NA20">INDEX(增益!$A$2:$Q$40,MS20,MATCH(NA$8,增益!$B$1:$Q$1,0)+1)*$AI20</f>
        <v>0</v>
      </c>
      <c r="NB20" s="2" cm="1">
        <f t="array" ref="NB20">INDEX(增益!$A$2:$Q$40,MS20,MATCH(NB$8,增益!$B$1:$Q$1,0)+1)*$AI20</f>
        <v>0</v>
      </c>
      <c r="NC20" s="2" cm="1">
        <f t="array" ref="NC20">INDEX(增益!$A$2:$Q$40,MS20,MATCH(NC$8,增益!$B$1:$Q$1,0)+1)*$AI20</f>
        <v>0</v>
      </c>
      <c r="NJ20" s="2" cm="1">
        <f t="array" ref="NJ20">INDEX(增益!$A$2:$Q$40,MS20,MATCH(NJ$8,增益!$B$1:$Q$1,0)+1)*$AI20</f>
        <v>0</v>
      </c>
      <c r="NK20" s="2" cm="1">
        <f t="array" ref="NK20">INDEX(增益!$A$2:$Q$40,MS20,MATCH(NK$8,增益!$B$1:$Q$1,0)+1)*$AI20</f>
        <v>0</v>
      </c>
      <c r="NL20" s="2" cm="1">
        <f t="array" ref="NL20">INDEX(增益!$A$2:$Q$40,MS20,MATCH(NL$8,增益!$B$1:$Q$1,0)+1)*$AI20</f>
        <v>0</v>
      </c>
      <c r="NN20" s="2" cm="1">
        <f t="array" ref="NN20">INDEX(增益!$A$2:$Q$40,MS20,MATCH(NN$8,增益!$B$1:$Q$1,0)+1)*$AI20</f>
        <v>0</v>
      </c>
      <c r="NP20" s="2" cm="1">
        <f t="array" ref="NP20">INDEX(增益!$A$2:$Q$40,MS20,MATCH(NP$8,增益!$B$1:$Q$1,0)+1)*$AI20</f>
        <v>0</v>
      </c>
      <c r="NQ20" s="2" cm="1">
        <f t="array" ref="NQ20">INDEX(增益!$A$2:$Q$40,MS20,MATCH(NQ$8,增益!$B$1:$Q$1,0)+1)*$AI20</f>
        <v>0</v>
      </c>
      <c r="NU20" s="2" cm="1">
        <f t="array" ref="NU20">INDEX(云配队!$J25:$AC25,1,NU$1)</f>
        <v>0</v>
      </c>
      <c r="NV20" s="2">
        <f>IFERROR(MATCH(NU20,增益!$A$2:$A$40,FALSE),1)</f>
        <v>1</v>
      </c>
      <c r="NW20" s="2" cm="1">
        <f t="array" ref="NW20">INDEX(增益!$A$2:$Q$40,NV20,MATCH(NW$8,增益!$B$1:$Q$1,0)+1)*$AI20</f>
        <v>0</v>
      </c>
      <c r="NX20" s="2" cm="1">
        <f t="array" ref="NX20">INDEX(增益!$A$2:$Q$40,NV20,MATCH(NX$8,增益!$B$1:$Q$1,0)+1)*$AI20</f>
        <v>0</v>
      </c>
      <c r="NY20" s="2" cm="1">
        <f t="array" ref="NY20">INDEX(增益!$A$2:$Q$40,NV20,MATCH(NY$8,增益!$B$1:$Q$1,0)+1)*$AI20</f>
        <v>0</v>
      </c>
      <c r="NZ20" s="2" cm="1">
        <f t="array" ref="NZ20">INDEX(增益!$A$2:$Q$40,NV20,MATCH(NZ$8,增益!$B$1:$Q$1,0)+1)*$AI20</f>
        <v>0</v>
      </c>
      <c r="OA20" s="2" cm="1">
        <f t="array" ref="OA20">INDEX(增益!$A$2:$Q$40,NV20,MATCH(OA$8,增益!$B$1:$Q$1,0)+1)*$AI20</f>
        <v>0</v>
      </c>
      <c r="OB20" s="2" cm="1">
        <f t="array" ref="OB20">INDEX(增益!$A$2:$Q$40,NV20,MATCH(OB$8,增益!$B$1:$Q$1,0)+1)*$AI20</f>
        <v>0</v>
      </c>
      <c r="OC20" s="2" cm="1">
        <f t="array" ref="OC20">INDEX(增益!$A$2:$Q$40,NV20,MATCH(OC$8,增益!$B$1:$Q$1,0)+1)*$AI20</f>
        <v>0</v>
      </c>
      <c r="OD20" s="2" cm="1">
        <f t="array" ref="OD20">INDEX(增益!$A$2:$Q$40,NV20,MATCH(OD$8,增益!$B$1:$Q$1,0)+1)*$AI20</f>
        <v>0</v>
      </c>
      <c r="OE20" s="2" cm="1">
        <f t="array" ref="OE20">INDEX(增益!$A$2:$Q$40,NV20,MATCH(OE$8,增益!$B$1:$Q$1,0)+1)*$AI20</f>
        <v>0</v>
      </c>
      <c r="OF20" s="2" cm="1">
        <f t="array" ref="OF20">INDEX(增益!$A$2:$Q$40,NV20,MATCH(OF$8,增益!$B$1:$Q$1,0)+1)*$AI20</f>
        <v>0</v>
      </c>
      <c r="OM20" s="2" cm="1">
        <f t="array" ref="OM20">INDEX(增益!$A$2:$Q$40,NV20,MATCH(OM$8,增益!$B$1:$Q$1,0)+1)*$AI20</f>
        <v>0</v>
      </c>
      <c r="ON20" s="2" cm="1">
        <f t="array" ref="ON20">INDEX(增益!$A$2:$Q$40,NV20,MATCH(ON$8,增益!$B$1:$Q$1,0)+1)*$AI20</f>
        <v>0</v>
      </c>
      <c r="OO20" s="2" cm="1">
        <f t="array" ref="OO20">INDEX(增益!$A$2:$Q$40,NV20,MATCH(OO$8,增益!$B$1:$Q$1,0)+1)*$AI20</f>
        <v>0</v>
      </c>
      <c r="OQ20" s="2" cm="1">
        <f t="array" ref="OQ20">INDEX(增益!$A$2:$Q$40,NV20,MATCH(OQ$8,增益!$B$1:$Q$1,0)+1)*$AI20</f>
        <v>0</v>
      </c>
      <c r="OS20" s="2" cm="1">
        <f t="array" ref="OS20">INDEX(增益!$A$2:$Q$40,NV20,MATCH(OS$8,增益!$B$1:$Q$1,0)+1)*$AI20</f>
        <v>0</v>
      </c>
      <c r="OT20" s="2" cm="1">
        <f t="array" ref="OT20">INDEX(增益!$A$2:$Q$40,NV20,MATCH(OT$8,增益!$B$1:$Q$1,0)+1)*$AI20</f>
        <v>0</v>
      </c>
      <c r="OX20" s="2" cm="1">
        <f t="array" ref="OX20">INDEX(云配队!$J25:$AC25,1,OX$1)</f>
        <v>0</v>
      </c>
      <c r="OY20" s="2">
        <f>IFERROR(MATCH(OX20,增益!$A$2:$A$40,FALSE),1)</f>
        <v>1</v>
      </c>
      <c r="OZ20" s="2" cm="1">
        <f t="array" ref="OZ20">INDEX(增益!$A$2:$Q$40,OY20,MATCH(OZ$8,增益!$B$1:$Q$1,0)+1)*$AI20</f>
        <v>0</v>
      </c>
      <c r="PA20" s="2" cm="1">
        <f t="array" ref="PA20">INDEX(增益!$A$2:$Q$40,OY20,MATCH(PA$8,增益!$B$1:$Q$1,0)+1)*$AI20</f>
        <v>0</v>
      </c>
      <c r="PB20" s="2" cm="1">
        <f t="array" ref="PB20">INDEX(增益!$A$2:$Q$40,OY20,MATCH(PB$8,增益!$B$1:$Q$1,0)+1)*$AI20</f>
        <v>0</v>
      </c>
      <c r="PC20" s="2" cm="1">
        <f t="array" ref="PC20">INDEX(增益!$A$2:$Q$40,OY20,MATCH(PC$8,增益!$B$1:$Q$1,0)+1)*$AI20</f>
        <v>0</v>
      </c>
      <c r="PD20" s="2" cm="1">
        <f t="array" ref="PD20">INDEX(增益!$A$2:$Q$40,OY20,MATCH(PD$8,增益!$B$1:$Q$1,0)+1)*$AI20</f>
        <v>0</v>
      </c>
      <c r="PE20" s="2" cm="1">
        <f t="array" ref="PE20">INDEX(增益!$A$2:$Q$40,OY20,MATCH(PE$8,增益!$B$1:$Q$1,0)+1)*$AI20</f>
        <v>0</v>
      </c>
      <c r="PF20" s="2" cm="1">
        <f t="array" ref="PF20">INDEX(增益!$A$2:$Q$40,OY20,MATCH(PF$8,增益!$B$1:$Q$1,0)+1)*$AI20</f>
        <v>0</v>
      </c>
      <c r="PG20" s="2" cm="1">
        <f t="array" ref="PG20">INDEX(增益!$A$2:$Q$40,OY20,MATCH(PG$8,增益!$B$1:$Q$1,0)+1)*$AI20</f>
        <v>0</v>
      </c>
      <c r="PH20" s="2" cm="1">
        <f t="array" ref="PH20">INDEX(增益!$A$2:$Q$40,OY20,MATCH(PH$8,增益!$B$1:$Q$1,0)+1)*$AI20</f>
        <v>0</v>
      </c>
      <c r="PI20" s="2" cm="1">
        <f t="array" ref="PI20">INDEX(增益!$A$2:$Q$40,OY20,MATCH(PI$8,增益!$B$1:$Q$1,0)+1)*$AI20</f>
        <v>0</v>
      </c>
      <c r="PP20" s="2" cm="1">
        <f t="array" ref="PP20">INDEX(增益!$A$2:$Q$40,OY20,MATCH(PP$8,增益!$B$1:$Q$1,0)+1)*$AI20</f>
        <v>0</v>
      </c>
      <c r="PQ20" s="2" cm="1">
        <f t="array" ref="PQ20">INDEX(增益!$A$2:$Q$40,OY20,MATCH(PQ$8,增益!$B$1:$Q$1,0)+1)*$AI20</f>
        <v>0</v>
      </c>
      <c r="PR20" s="2" cm="1">
        <f t="array" ref="PR20">INDEX(增益!$A$2:$Q$40,OY20,MATCH(PR$8,增益!$B$1:$Q$1,0)+1)*$AI20</f>
        <v>0</v>
      </c>
      <c r="PT20" s="2" cm="1">
        <f t="array" ref="PT20">INDEX(增益!$A$2:$Q$40,OY20,MATCH(PT$8,增益!$B$1:$Q$1,0)+1)*$AI20</f>
        <v>0</v>
      </c>
      <c r="PV20" s="2" cm="1">
        <f t="array" ref="PV20">INDEX(增益!$A$2:$Q$40,OY20,MATCH(PV$8,增益!$B$1:$Q$1,0)+1)*$AI20</f>
        <v>0</v>
      </c>
      <c r="PW20" s="2" cm="1">
        <f t="array" ref="PW20">INDEX(增益!$A$2:$Q$40,OY20,MATCH(PW$8,增益!$B$1:$Q$1,0)+1)*$AI20</f>
        <v>0</v>
      </c>
      <c r="QA20" s="2" cm="1">
        <f t="array" ref="QA20">INDEX(云配队!$J25:$AC25,1,QA$1)</f>
        <v>0</v>
      </c>
      <c r="QB20" s="2">
        <f>IFERROR(MATCH(QA20,增益!$A$2:$A$40,FALSE),1)</f>
        <v>1</v>
      </c>
      <c r="QC20" s="2" cm="1">
        <f t="array" ref="QC20">INDEX(增益!$A$2:$Q$40,QB20,MATCH(QC$8,增益!$B$1:$Q$1,0)+1)*$AI20</f>
        <v>0</v>
      </c>
      <c r="QD20" s="2" cm="1">
        <f t="array" ref="QD20">INDEX(增益!$A$2:$Q$40,QB20,MATCH(QD$8,增益!$B$1:$Q$1,0)+1)*$AI20</f>
        <v>0</v>
      </c>
      <c r="QE20" s="2" cm="1">
        <f t="array" ref="QE20">INDEX(增益!$A$2:$Q$40,QB20,MATCH(QE$8,增益!$B$1:$Q$1,0)+1)*$AI20</f>
        <v>0</v>
      </c>
      <c r="QF20" s="2" cm="1">
        <f t="array" ref="QF20">INDEX(增益!$A$2:$Q$40,QB20,MATCH(QF$8,增益!$B$1:$Q$1,0)+1)*$AI20</f>
        <v>0</v>
      </c>
      <c r="QG20" s="2" cm="1">
        <f t="array" ref="QG20">INDEX(增益!$A$2:$Q$40,QB20,MATCH(QG$8,增益!$B$1:$Q$1,0)+1)*$AI20</f>
        <v>0</v>
      </c>
      <c r="QH20" s="2" cm="1">
        <f t="array" ref="QH20">INDEX(增益!$A$2:$Q$40,QB20,MATCH(QH$8,增益!$B$1:$Q$1,0)+1)*$AI20</f>
        <v>0</v>
      </c>
      <c r="QI20" s="2" cm="1">
        <f t="array" ref="QI20">INDEX(增益!$A$2:$Q$40,QB20,MATCH(QI$8,增益!$B$1:$Q$1,0)+1)*$AI20</f>
        <v>0</v>
      </c>
      <c r="QJ20" s="2" cm="1">
        <f t="array" ref="QJ20">INDEX(增益!$A$2:$Q$40,QB20,MATCH(QJ$8,增益!$B$1:$Q$1,0)+1)*$AI20</f>
        <v>0</v>
      </c>
      <c r="QK20" s="2" cm="1">
        <f t="array" ref="QK20">INDEX(增益!$A$2:$Q$40,QB20,MATCH(QK$8,增益!$B$1:$Q$1,0)+1)*$AI20</f>
        <v>0</v>
      </c>
      <c r="QL20" s="2" cm="1">
        <f t="array" ref="QL20">INDEX(增益!$A$2:$Q$40,QB20,MATCH(QL$8,增益!$B$1:$Q$1,0)+1)*$AI20</f>
        <v>0</v>
      </c>
      <c r="QS20" s="2" cm="1">
        <f t="array" ref="QS20">INDEX(增益!$A$2:$Q$40,QB20,MATCH(QS$8,增益!$B$1:$Q$1,0)+1)*$AI20</f>
        <v>0</v>
      </c>
      <c r="QT20" s="2" cm="1">
        <f t="array" ref="QT20">INDEX(增益!$A$2:$Q$40,QB20,MATCH(QT$8,增益!$B$1:$Q$1,0)+1)*$AI20</f>
        <v>0</v>
      </c>
      <c r="QU20" s="2" cm="1">
        <f t="array" ref="QU20">INDEX(增益!$A$2:$Q$40,QB20,MATCH(QU$8,增益!$B$1:$Q$1,0)+1)*$AI20</f>
        <v>0</v>
      </c>
      <c r="QW20" s="2" cm="1">
        <f t="array" ref="QW20">INDEX(增益!$A$2:$Q$40,QB20,MATCH(QW$8,增益!$B$1:$Q$1,0)+1)*$AI20</f>
        <v>0</v>
      </c>
      <c r="QY20" s="2" cm="1">
        <f t="array" ref="QY20">INDEX(增益!$A$2:$Q$40,QB20,MATCH(QY$8,增益!$B$1:$Q$1,0)+1)*$AI20</f>
        <v>0</v>
      </c>
      <c r="QZ20" s="2" cm="1">
        <f t="array" ref="QZ20">INDEX(增益!$A$2:$Q$40,QB20,MATCH(QZ$8,增益!$B$1:$Q$1,0)+1)*$AI20</f>
        <v>0</v>
      </c>
      <c r="RD20" s="2" cm="1">
        <f t="array" ref="RD20">INDEX(云配队!$J25:$AC25,1,RD$1)</f>
        <v>0</v>
      </c>
      <c r="RE20" s="2">
        <f>IFERROR(MATCH(RD20,增益!$A$2:$A$40,FALSE),1)</f>
        <v>1</v>
      </c>
      <c r="RF20" s="2" cm="1">
        <f t="array" ref="RF20">INDEX(增益!$A$2:$Q$40,RE20,MATCH(RF$8,增益!$B$1:$Q$1,0)+1)*$AI20</f>
        <v>0</v>
      </c>
      <c r="RG20" s="2" cm="1">
        <f t="array" ref="RG20">INDEX(增益!$A$2:$Q$40,RE20,MATCH(RG$8,增益!$B$1:$Q$1,0)+1)*$AI20</f>
        <v>0</v>
      </c>
      <c r="RH20" s="2" cm="1">
        <f t="array" ref="RH20">INDEX(增益!$A$2:$Q$40,RE20,MATCH(RH$8,增益!$B$1:$Q$1,0)+1)*$AI20</f>
        <v>0</v>
      </c>
      <c r="RI20" s="2" cm="1">
        <f t="array" ref="RI20">INDEX(增益!$A$2:$Q$40,RE20,MATCH(RI$8,增益!$B$1:$Q$1,0)+1)*$AI20</f>
        <v>0</v>
      </c>
      <c r="RJ20" s="2" cm="1">
        <f t="array" ref="RJ20">INDEX(增益!$A$2:$Q$40,RE20,MATCH(RJ$8,增益!$B$1:$Q$1,0)+1)*$AI20</f>
        <v>0</v>
      </c>
      <c r="RK20" s="2" cm="1">
        <f t="array" ref="RK20">INDEX(增益!$A$2:$Q$40,RE20,MATCH(RK$8,增益!$B$1:$Q$1,0)+1)*$AI20</f>
        <v>0</v>
      </c>
      <c r="RL20" s="2" cm="1">
        <f t="array" ref="RL20">INDEX(增益!$A$2:$Q$40,RE20,MATCH(RL$8,增益!$B$1:$Q$1,0)+1)*$AI20</f>
        <v>0</v>
      </c>
      <c r="RM20" s="2" cm="1">
        <f t="array" ref="RM20">INDEX(增益!$A$2:$Q$40,RE20,MATCH(RM$8,增益!$B$1:$Q$1,0)+1)*$AI20</f>
        <v>0</v>
      </c>
      <c r="RN20" s="2" cm="1">
        <f t="array" ref="RN20">INDEX(增益!$A$2:$Q$40,RE20,MATCH(RN$8,增益!$B$1:$Q$1,0)+1)*$AI20</f>
        <v>0</v>
      </c>
      <c r="RO20" s="2" cm="1">
        <f t="array" ref="RO20">INDEX(增益!$A$2:$Q$40,RE20,MATCH(RO$8,增益!$B$1:$Q$1,0)+1)*$AI20</f>
        <v>0</v>
      </c>
      <c r="RV20" s="2" cm="1">
        <f t="array" ref="RV20">INDEX(增益!$A$2:$Q$40,RE20,MATCH(RV$8,增益!$B$1:$Q$1,0)+1)*$AI20</f>
        <v>0</v>
      </c>
      <c r="RW20" s="2" cm="1">
        <f t="array" ref="RW20">INDEX(增益!$A$2:$Q$40,RE20,MATCH(RW$8,增益!$B$1:$Q$1,0)+1)*$AI20</f>
        <v>0</v>
      </c>
      <c r="RX20" s="2" cm="1">
        <f t="array" ref="RX20">INDEX(增益!$A$2:$Q$40,RE20,MATCH(RX$8,增益!$B$1:$Q$1,0)+1)*$AI20</f>
        <v>0</v>
      </c>
      <c r="RZ20" s="2" cm="1">
        <f t="array" ref="RZ20">INDEX(增益!$A$2:$Q$40,RE20,MATCH(RZ$8,增益!$B$1:$Q$1,0)+1)*$AI20</f>
        <v>0</v>
      </c>
      <c r="SB20" s="2" cm="1">
        <f t="array" ref="SB20">INDEX(增益!$A$2:$Q$40,RE20,MATCH(SB$8,增益!$B$1:$Q$1,0)+1)*$AI20</f>
        <v>0</v>
      </c>
      <c r="SC20" s="2" cm="1">
        <f t="array" ref="SC20">INDEX(增益!$A$2:$Q$40,RE20,MATCH(SC$8,增益!$B$1:$Q$1,0)+1)*$AI20</f>
        <v>0</v>
      </c>
      <c r="SG20" s="2" cm="1">
        <f t="array" ref="SG20">INDEX(云配队!$J25:$AC25,1,SG$1)</f>
        <v>0</v>
      </c>
      <c r="SH20" s="2">
        <f>IFERROR(MATCH(SG20,增益!$A$2:$A$40,FALSE),1)</f>
        <v>1</v>
      </c>
      <c r="SI20" s="2" cm="1">
        <f t="array" ref="SI20">INDEX(增益!$A$2:$Q$40,SH20,MATCH(SI$8,增益!$B$1:$Q$1,0)+1)*$AI20</f>
        <v>0</v>
      </c>
      <c r="SJ20" s="2" cm="1">
        <f t="array" ref="SJ20">INDEX(增益!$A$2:$Q$40,SH20,MATCH(SJ$8,增益!$B$1:$Q$1,0)+1)*$AI20</f>
        <v>0</v>
      </c>
      <c r="SK20" s="2" cm="1">
        <f t="array" ref="SK20">INDEX(增益!$A$2:$Q$40,SH20,MATCH(SK$8,增益!$B$1:$Q$1,0)+1)*$AI20</f>
        <v>0</v>
      </c>
      <c r="SL20" s="2" cm="1">
        <f t="array" ref="SL20">INDEX(增益!$A$2:$Q$40,SH20,MATCH(SL$8,增益!$B$1:$Q$1,0)+1)*$AI20</f>
        <v>0</v>
      </c>
      <c r="SM20" s="2" cm="1">
        <f t="array" ref="SM20">INDEX(增益!$A$2:$Q$40,SH20,MATCH(SM$8,增益!$B$1:$Q$1,0)+1)*$AI20</f>
        <v>0</v>
      </c>
      <c r="SN20" s="2" cm="1">
        <f t="array" ref="SN20">INDEX(增益!$A$2:$Q$40,SH20,MATCH(SN$8,增益!$B$1:$Q$1,0)+1)*$AI20</f>
        <v>0</v>
      </c>
      <c r="SO20" s="2" cm="1">
        <f t="array" ref="SO20">INDEX(增益!$A$2:$Q$40,SH20,MATCH(SO$8,增益!$B$1:$Q$1,0)+1)*$AI20</f>
        <v>0</v>
      </c>
      <c r="SP20" s="2" cm="1">
        <f t="array" ref="SP20">INDEX(增益!$A$2:$Q$40,SH20,MATCH(SP$8,增益!$B$1:$Q$1,0)+1)*$AI20</f>
        <v>0</v>
      </c>
      <c r="SQ20" s="2" cm="1">
        <f t="array" ref="SQ20">INDEX(增益!$A$2:$Q$40,SH20,MATCH(SQ$8,增益!$B$1:$Q$1,0)+1)*$AI20</f>
        <v>0</v>
      </c>
      <c r="SR20" s="2" cm="1">
        <f t="array" ref="SR20">INDEX(增益!$A$2:$Q$40,SH20,MATCH(SR$8,增益!$B$1:$Q$1,0)+1)*$AI20</f>
        <v>0</v>
      </c>
      <c r="SY20" s="2" cm="1">
        <f t="array" ref="SY20">INDEX(增益!$A$2:$Q$40,SH20,MATCH(SY$8,增益!$B$1:$Q$1,0)+1)*$AI20</f>
        <v>0</v>
      </c>
      <c r="SZ20" s="2" cm="1">
        <f t="array" ref="SZ20">INDEX(增益!$A$2:$Q$40,SH20,MATCH(SZ$8,增益!$B$1:$Q$1,0)+1)*$AI20</f>
        <v>0</v>
      </c>
      <c r="TA20" s="2" cm="1">
        <f t="array" ref="TA20">INDEX(增益!$A$2:$Q$40,SH20,MATCH(TA$8,增益!$B$1:$Q$1,0)+1)*$AI20</f>
        <v>0</v>
      </c>
      <c r="TC20" s="2" cm="1">
        <f t="array" ref="TC20">INDEX(增益!$A$2:$Q$40,SH20,MATCH(TC$8,增益!$B$1:$Q$1,0)+1)*$AI20</f>
        <v>0</v>
      </c>
      <c r="TE20" s="2" cm="1">
        <f t="array" ref="TE20">INDEX(增益!$A$2:$Q$40,SH20,MATCH(TE$8,增益!$B$1:$Q$1,0)+1)*$AI20</f>
        <v>0</v>
      </c>
      <c r="TF20" s="2" cm="1">
        <f t="array" ref="TF20">INDEX(增益!$A$2:$Q$40,SH20,MATCH(TF$8,增益!$B$1:$Q$1,0)+1)*$AI20</f>
        <v>0</v>
      </c>
      <c r="TJ20" s="2" cm="1">
        <f t="array" ref="TJ20">INDEX(云配队!$J25:$AC25,1,TJ$1)</f>
        <v>0</v>
      </c>
      <c r="TK20" s="2">
        <f>IFERROR(MATCH(TJ20,增益!$A$2:$A$40,FALSE),1)</f>
        <v>1</v>
      </c>
      <c r="TL20" s="2" cm="1">
        <f t="array" ref="TL20">INDEX(增益!$A$2:$Q$40,TK20,MATCH(TL$8,增益!$B$1:$Q$1,0)+1)*$AI20</f>
        <v>0</v>
      </c>
      <c r="TM20" s="2" cm="1">
        <f t="array" ref="TM20">INDEX(增益!$A$2:$Q$40,TK20,MATCH(TM$8,增益!$B$1:$Q$1,0)+1)*$AI20</f>
        <v>0</v>
      </c>
      <c r="TN20" s="2" cm="1">
        <f t="array" ref="TN20">INDEX(增益!$A$2:$Q$40,TK20,MATCH(TN$8,增益!$B$1:$Q$1,0)+1)*$AI20</f>
        <v>0</v>
      </c>
      <c r="TO20" s="2" cm="1">
        <f t="array" ref="TO20">INDEX(增益!$A$2:$Q$40,TK20,MATCH(TO$8,增益!$B$1:$Q$1,0)+1)*$AI20</f>
        <v>0</v>
      </c>
      <c r="TP20" s="2" cm="1">
        <f t="array" ref="TP20">INDEX(增益!$A$2:$Q$40,TK20,MATCH(TP$8,增益!$B$1:$Q$1,0)+1)*$AI20</f>
        <v>0</v>
      </c>
      <c r="TQ20" s="2" cm="1">
        <f t="array" ref="TQ20">INDEX(增益!$A$2:$Q$40,TK20,MATCH(TQ$8,增益!$B$1:$Q$1,0)+1)*$AI20</f>
        <v>0</v>
      </c>
      <c r="TR20" s="2" cm="1">
        <f t="array" ref="TR20">INDEX(增益!$A$2:$Q$40,TK20,MATCH(TR$8,增益!$B$1:$Q$1,0)+1)*$AI20</f>
        <v>0</v>
      </c>
      <c r="TS20" s="2" cm="1">
        <f t="array" ref="TS20">INDEX(增益!$A$2:$Q$40,TK20,MATCH(TS$8,增益!$B$1:$Q$1,0)+1)*$AI20</f>
        <v>0</v>
      </c>
      <c r="TT20" s="2" cm="1">
        <f t="array" ref="TT20">INDEX(增益!$A$2:$Q$40,TK20,MATCH(TT$8,增益!$B$1:$Q$1,0)+1)*$AI20</f>
        <v>0</v>
      </c>
      <c r="TU20" s="2" cm="1">
        <f t="array" ref="TU20">INDEX(增益!$A$2:$Q$40,TK20,MATCH(TU$8,增益!$B$1:$Q$1,0)+1)*$AI20</f>
        <v>0</v>
      </c>
      <c r="UB20" s="2" cm="1">
        <f t="array" ref="UB20">INDEX(增益!$A$2:$Q$40,TK20,MATCH(UB$8,增益!$B$1:$Q$1,0)+1)*$AI20</f>
        <v>0</v>
      </c>
      <c r="UC20" s="2" cm="1">
        <f t="array" ref="UC20">INDEX(增益!$A$2:$Q$40,TK20,MATCH(UC$8,增益!$B$1:$Q$1,0)+1)*$AI20</f>
        <v>0</v>
      </c>
      <c r="UD20" s="2" cm="1">
        <f t="array" ref="UD20">INDEX(增益!$A$2:$Q$40,TK20,MATCH(UD$8,增益!$B$1:$Q$1,0)+1)*$AI20</f>
        <v>0</v>
      </c>
      <c r="UF20" s="2" cm="1">
        <f t="array" ref="UF20">INDEX(增益!$A$2:$Q$40,TK20,MATCH(UF$8,增益!$B$1:$Q$1,0)+1)*$AI20</f>
        <v>0</v>
      </c>
      <c r="UH20" s="2" cm="1">
        <f t="array" ref="UH20">INDEX(增益!$A$2:$Q$40,TK20,MATCH(UH$8,增益!$B$1:$Q$1,0)+1)*$AI20</f>
        <v>0</v>
      </c>
      <c r="UI20" s="2" cm="1">
        <f t="array" ref="UI20">INDEX(增益!$A$2:$Q$40,TK20,MATCH(UI$8,增益!$B$1:$Q$1,0)+1)*$AI20</f>
        <v>0</v>
      </c>
      <c r="UM20" s="2" cm="1">
        <f t="array" ref="UM20">INDEX(云配队!$J25:$AC25,1,UM$1)</f>
        <v>0</v>
      </c>
      <c r="UN20" s="2">
        <f>IFERROR(MATCH(UM20,增益!$A$2:$A$40,FALSE),1)</f>
        <v>1</v>
      </c>
      <c r="UO20" s="2" cm="1">
        <f t="array" ref="UO20">INDEX(增益!$A$2:$Q$40,UN20,MATCH(UO$8,增益!$B$1:$Q$1,0)+1)*$AI20</f>
        <v>0</v>
      </c>
      <c r="UP20" s="2" cm="1">
        <f t="array" ref="UP20">INDEX(增益!$A$2:$Q$40,UN20,MATCH(UP$8,增益!$B$1:$Q$1,0)+1)*$AI20</f>
        <v>0</v>
      </c>
      <c r="UQ20" s="2" cm="1">
        <f t="array" ref="UQ20">INDEX(增益!$A$2:$Q$40,UN20,MATCH(UQ$8,增益!$B$1:$Q$1,0)+1)*$AI20</f>
        <v>0</v>
      </c>
      <c r="UR20" s="2" cm="1">
        <f t="array" ref="UR20">INDEX(增益!$A$2:$Q$40,UN20,MATCH(UR$8,增益!$B$1:$Q$1,0)+1)*$AI20</f>
        <v>0</v>
      </c>
      <c r="US20" s="2" cm="1">
        <f t="array" ref="US20">INDEX(增益!$A$2:$Q$40,UN20,MATCH(US$8,增益!$B$1:$Q$1,0)+1)*$AI20</f>
        <v>0</v>
      </c>
      <c r="UT20" s="2" cm="1">
        <f t="array" ref="UT20">INDEX(增益!$A$2:$Q$40,UN20,MATCH(UT$8,增益!$B$1:$Q$1,0)+1)*$AI20</f>
        <v>0</v>
      </c>
      <c r="UU20" s="2" cm="1">
        <f t="array" ref="UU20">INDEX(增益!$A$2:$Q$40,UN20,MATCH(UU$8,增益!$B$1:$Q$1,0)+1)*$AI20</f>
        <v>0</v>
      </c>
      <c r="UV20" s="2" cm="1">
        <f t="array" ref="UV20">INDEX(增益!$A$2:$Q$40,UN20,MATCH(UV$8,增益!$B$1:$Q$1,0)+1)*$AI20</f>
        <v>0</v>
      </c>
      <c r="UW20" s="2" cm="1">
        <f t="array" ref="UW20">INDEX(增益!$A$2:$Q$40,UN20,MATCH(UW$8,增益!$B$1:$Q$1,0)+1)*$AI20</f>
        <v>0</v>
      </c>
      <c r="UX20" s="2" cm="1">
        <f t="array" ref="UX20">INDEX(增益!$A$2:$Q$40,UN20,MATCH(UX$8,增益!$B$1:$Q$1,0)+1)*$AI20</f>
        <v>0</v>
      </c>
      <c r="VE20" s="2" cm="1">
        <f t="array" ref="VE20">INDEX(增益!$A$2:$Q$40,UN20,MATCH(VE$8,增益!$B$1:$Q$1,0)+1)*$AI20</f>
        <v>0</v>
      </c>
      <c r="VF20" s="2" cm="1">
        <f t="array" ref="VF20">INDEX(增益!$A$2:$Q$40,UN20,MATCH(VF$8,增益!$B$1:$Q$1,0)+1)*$AI20</f>
        <v>0</v>
      </c>
      <c r="VG20" s="2" cm="1">
        <f t="array" ref="VG20">INDEX(增益!$A$2:$Q$40,UN20,MATCH(VG$8,增益!$B$1:$Q$1,0)+1)*$AI20</f>
        <v>0</v>
      </c>
      <c r="VI20" s="2" cm="1">
        <f t="array" ref="VI20">INDEX(增益!$A$2:$Q$40,UN20,MATCH(VI$8,增益!$B$1:$Q$1,0)+1)*$AI20</f>
        <v>0</v>
      </c>
      <c r="VK20" s="2" cm="1">
        <f t="array" ref="VK20">INDEX(增益!$A$2:$Q$40,UN20,MATCH(VK$8,增益!$B$1:$Q$1,0)+1)*$AI20</f>
        <v>0</v>
      </c>
      <c r="VL20" s="2" cm="1">
        <f t="array" ref="VL20">INDEX(增益!$A$2:$Q$40,UN20,MATCH(VL$8,增益!$B$1:$Q$1,0)+1)*$AI20</f>
        <v>0</v>
      </c>
      <c r="VP20" s="2" cm="1">
        <f t="array" ref="VP20">INDEX(云配队!$J25:$AC25,1,VP$1)</f>
        <v>0</v>
      </c>
      <c r="VQ20" s="2">
        <f>IFERROR(MATCH(VP20,增益!$A$2:$A$40,FALSE),1)</f>
        <v>1</v>
      </c>
      <c r="VR20" s="2" cm="1">
        <f t="array" ref="VR20">INDEX(增益!$A$2:$Q$40,VQ20,MATCH(VR$8,增益!$B$1:$Q$1,0)+1)*$AI20</f>
        <v>0</v>
      </c>
      <c r="VS20" s="2" cm="1">
        <f t="array" ref="VS20">INDEX(增益!$A$2:$Q$40,VQ20,MATCH(VS$8,增益!$B$1:$Q$1,0)+1)*$AI20</f>
        <v>0</v>
      </c>
      <c r="VT20" s="2" cm="1">
        <f t="array" ref="VT20">INDEX(增益!$A$2:$Q$40,VQ20,MATCH(VT$8,增益!$B$1:$Q$1,0)+1)*$AI20</f>
        <v>0</v>
      </c>
      <c r="VU20" s="2" cm="1">
        <f t="array" ref="VU20">INDEX(增益!$A$2:$Q$40,VQ20,MATCH(VU$8,增益!$B$1:$Q$1,0)+1)*$AI20</f>
        <v>0</v>
      </c>
      <c r="VV20" s="2" cm="1">
        <f t="array" ref="VV20">INDEX(增益!$A$2:$Q$40,VQ20,MATCH(VV$8,增益!$B$1:$Q$1,0)+1)*$AI20</f>
        <v>0</v>
      </c>
      <c r="VW20" s="2" cm="1">
        <f t="array" ref="VW20">INDEX(增益!$A$2:$Q$40,VQ20,MATCH(VW$8,增益!$B$1:$Q$1,0)+1)*$AI20</f>
        <v>0</v>
      </c>
      <c r="VX20" s="2" cm="1">
        <f t="array" ref="VX20">INDEX(增益!$A$2:$Q$40,VQ20,MATCH(VX$8,增益!$B$1:$Q$1,0)+1)*$AI20</f>
        <v>0</v>
      </c>
      <c r="VY20" s="2" cm="1">
        <f t="array" ref="VY20">INDEX(增益!$A$2:$Q$40,VQ20,MATCH(VY$8,增益!$B$1:$Q$1,0)+1)*$AI20</f>
        <v>0</v>
      </c>
      <c r="VZ20" s="2" cm="1">
        <f t="array" ref="VZ20">INDEX(增益!$A$2:$Q$40,VQ20,MATCH(VZ$8,增益!$B$1:$Q$1,0)+1)*$AI20</f>
        <v>0</v>
      </c>
      <c r="WA20" s="2" cm="1">
        <f t="array" ref="WA20">INDEX(增益!$A$2:$Q$40,VQ20,MATCH(WA$8,增益!$B$1:$Q$1,0)+1)*$AI20</f>
        <v>0</v>
      </c>
      <c r="WH20" s="2" cm="1">
        <f t="array" ref="WH20">INDEX(增益!$A$2:$Q$40,VQ20,MATCH(WH$8,增益!$B$1:$Q$1,0)+1)*$AI20</f>
        <v>0</v>
      </c>
      <c r="WI20" s="2" cm="1">
        <f t="array" ref="WI20">INDEX(增益!$A$2:$Q$40,VQ20,MATCH(WI$8,增益!$B$1:$Q$1,0)+1)*$AI20</f>
        <v>0</v>
      </c>
      <c r="WJ20" s="2" cm="1">
        <f t="array" ref="WJ20">INDEX(增益!$A$2:$Q$40,VQ20,MATCH(WJ$8,增益!$B$1:$Q$1,0)+1)*$AI20</f>
        <v>0</v>
      </c>
      <c r="WL20" s="2" cm="1">
        <f t="array" ref="WL20">INDEX(增益!$A$2:$Q$40,VQ20,MATCH(WL$8,增益!$B$1:$Q$1,0)+1)*$AI20</f>
        <v>0</v>
      </c>
      <c r="WN20" s="2" cm="1">
        <f t="array" ref="WN20">INDEX(增益!$A$2:$Q$40,VQ20,MATCH(WN$8,增益!$B$1:$Q$1,0)+1)*$AI20</f>
        <v>0</v>
      </c>
      <c r="WO20" s="2" cm="1">
        <f t="array" ref="WO20">INDEX(增益!$A$2:$Q$40,VQ20,MATCH(WO$8,增益!$B$1:$Q$1,0)+1)*$AI20</f>
        <v>0</v>
      </c>
    </row>
    <row r="21" spans="35:616">
      <c r="AI21" s="2">
        <f>IF(云配队!H26&gt;0,云配队!H26,1)</f>
        <v>1</v>
      </c>
      <c r="AK21" s="2" cm="1">
        <f t="array" ref="AK21">INDEX(云配队!$J26:$AC26,1,AK$1)</f>
        <v>0</v>
      </c>
      <c r="AL21" s="2">
        <f>IFERROR(MATCH(AK21,增益!$A$2:$A$40,FALSE),1)</f>
        <v>1</v>
      </c>
      <c r="AM21" s="2" cm="1">
        <f t="array" ref="AM21">INDEX(增益!$A$2:$Q$40,AL21,MATCH(AM$8,增益!$B$1:$Q$1,0)+1)*$AI21</f>
        <v>0</v>
      </c>
      <c r="AN21" s="2" cm="1">
        <f t="array" ref="AN21">INDEX(增益!$A$2:$Q$40,AL21,MATCH(AN$8,增益!$B$1:$Q$1,0)+1)*$AI21</f>
        <v>0</v>
      </c>
      <c r="AO21" s="2" cm="1">
        <f t="array" ref="AO21">INDEX(增益!$A$2:$Q$40,AL21,MATCH(AO$8,增益!$B$1:$Q$1,0)+1)*$AI21</f>
        <v>0</v>
      </c>
      <c r="AP21" s="2" cm="1">
        <f t="array" ref="AP21">INDEX(增益!$A$2:$Q$40,AL21,MATCH(AP$8,增益!$B$1:$Q$1,0)+1)*$AI21</f>
        <v>0</v>
      </c>
      <c r="AQ21" s="2" cm="1">
        <f t="array" ref="AQ21">INDEX(增益!$A$2:$Q$40,AL21,MATCH(AQ$8,增益!$B$1:$Q$1,0)+1)*$AI21</f>
        <v>0</v>
      </c>
      <c r="AR21" s="2" cm="1">
        <f t="array" ref="AR21">INDEX(增益!$A$2:$Q$40,AL21,MATCH(AR$8,增益!$B$1:$Q$1,0)+1)*$AI21</f>
        <v>0</v>
      </c>
      <c r="AS21" s="2" cm="1">
        <f t="array" ref="AS21">INDEX(增益!$A$2:$Q$40,AL21,MATCH(AS$8,增益!$B$1:$Q$1,0)+1)*$AI21</f>
        <v>0</v>
      </c>
      <c r="AT21" s="2" cm="1">
        <f t="array" ref="AT21">INDEX(增益!$A$2:$Q$40,AL21,MATCH(AT$8,增益!$B$1:$Q$1,0)+1)*$AI21</f>
        <v>0</v>
      </c>
      <c r="AU21" s="2" cm="1">
        <f t="array" ref="AU21">INDEX(增益!$A$2:$Q$40,AL21,MATCH(AU$8,增益!$B$1:$Q$1,0)+1)*$AI21</f>
        <v>0</v>
      </c>
      <c r="AV21" s="2" cm="1">
        <f t="array" ref="AV21">INDEX(增益!$A$2:$Q$40,AL21,MATCH(AV$8,增益!$B$1:$Q$1,0)+1)*$AI21</f>
        <v>0</v>
      </c>
      <c r="BC21" s="2" cm="1">
        <f t="array" ref="BC21">INDEX(增益!$A$2:$Q$40,AL21,MATCH(BC$8,增益!$B$1:$Q$1,0)+1)*$AI21</f>
        <v>0</v>
      </c>
      <c r="BD21" s="2" cm="1">
        <f t="array" ref="BD21">INDEX(增益!$A$2:$Q$40,AL21,MATCH(BD$8,增益!$B$1:$Q$1,0)+1)*$AI21</f>
        <v>0</v>
      </c>
      <c r="BE21" s="2" cm="1">
        <f t="array" ref="BE21">INDEX(增益!$A$2:$Q$40,AL21,MATCH(BE$8,增益!$B$1:$Q$1,0)+1)*$AI21</f>
        <v>0</v>
      </c>
      <c r="BG21" s="2" cm="1">
        <f t="array" ref="BG21">INDEX(增益!$A$2:$Q$40,AL21,MATCH(BG$8,增益!$B$1:$Q$1,0)+1)*$AI21</f>
        <v>0</v>
      </c>
      <c r="BI21" s="2" cm="1">
        <f t="array" ref="BI21">INDEX(增益!$A$2:$Q$40,AL21,MATCH(BI$8,增益!$B$1:$Q$1,0)+1)*$AI21</f>
        <v>0</v>
      </c>
      <c r="BJ21" s="2" cm="1">
        <f t="array" ref="BJ21">INDEX(增益!$A$2:$Q$40,AL21,MATCH(BJ$8,增益!$B$1:$Q$1,0)+1)*$AI21</f>
        <v>0</v>
      </c>
      <c r="BN21" s="2" cm="1">
        <f t="array" ref="BN21">INDEX(云配队!$J26:$AC26,1,BN$1)</f>
        <v>0</v>
      </c>
      <c r="BO21" s="2">
        <f>IFERROR(MATCH(BN21,增益!$A$2:$A$40,FALSE),1)</f>
        <v>1</v>
      </c>
      <c r="BP21" s="2" cm="1">
        <f t="array" ref="BP21">INDEX(增益!$A$2:$Q$40,BO21,MATCH(BP$8,增益!$B$1:$Q$1,0)+1)*$AI21</f>
        <v>0</v>
      </c>
      <c r="BQ21" s="2" cm="1">
        <f t="array" ref="BQ21">INDEX(增益!$A$2:$Q$40,BO21,MATCH(BQ$8,增益!$B$1:$Q$1,0)+1)*$AI21</f>
        <v>0</v>
      </c>
      <c r="BR21" s="2" cm="1">
        <f t="array" ref="BR21">INDEX(增益!$A$2:$Q$40,BO21,MATCH(BR$8,增益!$B$1:$Q$1,0)+1)*$AI21</f>
        <v>0</v>
      </c>
      <c r="BS21" s="2" cm="1">
        <f t="array" ref="BS21">INDEX(增益!$A$2:$Q$40,BO21,MATCH(BS$8,增益!$B$1:$Q$1,0)+1)*$AI21</f>
        <v>0</v>
      </c>
      <c r="BT21" s="2" cm="1">
        <f t="array" ref="BT21">INDEX(增益!$A$2:$Q$40,BO21,MATCH(BT$8,增益!$B$1:$Q$1,0)+1)*$AI21</f>
        <v>0</v>
      </c>
      <c r="BU21" s="2" cm="1">
        <f t="array" ref="BU21">INDEX(增益!$A$2:$Q$40,BO21,MATCH(BU$8,增益!$B$1:$Q$1,0)+1)*$AI21</f>
        <v>0</v>
      </c>
      <c r="BV21" s="2" cm="1">
        <f t="array" ref="BV21">INDEX(增益!$A$2:$Q$40,BO21,MATCH(BV$8,增益!$B$1:$Q$1,0)+1)*$AI21</f>
        <v>0</v>
      </c>
      <c r="BW21" s="2" cm="1">
        <f t="array" ref="BW21">INDEX(增益!$A$2:$Q$40,BO21,MATCH(BW$8,增益!$B$1:$Q$1,0)+1)*$AI21</f>
        <v>0</v>
      </c>
      <c r="BX21" s="2" cm="1">
        <f t="array" ref="BX21">INDEX(增益!$A$2:$Q$40,BO21,MATCH(BX$8,增益!$B$1:$Q$1,0)+1)*$AI21</f>
        <v>0</v>
      </c>
      <c r="BY21" s="2" cm="1">
        <f t="array" ref="BY21">INDEX(增益!$A$2:$Q$40,BO21,MATCH(BY$8,增益!$B$1:$Q$1,0)+1)*$AI21</f>
        <v>0</v>
      </c>
      <c r="CF21" s="2" cm="1">
        <f t="array" ref="CF21">INDEX(增益!$A$2:$Q$40,BO21,MATCH(CF$8,增益!$B$1:$Q$1,0)+1)*$AI21</f>
        <v>0</v>
      </c>
      <c r="CG21" s="2" cm="1">
        <f t="array" ref="CG21">INDEX(增益!$A$2:$Q$40,BO21,MATCH(CG$8,增益!$B$1:$Q$1,0)+1)*$AI21</f>
        <v>0</v>
      </c>
      <c r="CH21" s="2" cm="1">
        <f t="array" ref="CH21">INDEX(增益!$A$2:$Q$40,BO21,MATCH(CH$8,增益!$B$1:$Q$1,0)+1)*$AI21</f>
        <v>0</v>
      </c>
      <c r="CJ21" s="2" cm="1">
        <f t="array" ref="CJ21">INDEX(增益!$A$2:$Q$40,BO21,MATCH(CJ$8,增益!$B$1:$Q$1,0)+1)*$AI21</f>
        <v>0</v>
      </c>
      <c r="CL21" s="2" cm="1">
        <f t="array" ref="CL21">INDEX(增益!$A$2:$Q$40,BO21,MATCH(CL$8,增益!$B$1:$Q$1,0)+1)*$AI21</f>
        <v>0</v>
      </c>
      <c r="CM21" s="2" cm="1">
        <f t="array" ref="CM21">INDEX(增益!$A$2:$Q$40,BO21,MATCH(CM$8,增益!$B$1:$Q$1,0)+1)*$AI21</f>
        <v>0</v>
      </c>
      <c r="CQ21" s="2" cm="1">
        <f t="array" ref="CQ21">INDEX(云配队!$J26:$AC26,1,CQ$1)</f>
        <v>0</v>
      </c>
      <c r="CR21" s="2">
        <f>IFERROR(MATCH(CQ21,增益!$A$2:$A$40,FALSE),1)</f>
        <v>1</v>
      </c>
      <c r="CS21" s="2" cm="1">
        <f t="array" ref="CS21">INDEX(增益!$A$2:$Q$40,CR21,MATCH(CS$8,增益!$B$1:$Q$1,0)+1)*$AI21</f>
        <v>0</v>
      </c>
      <c r="CT21" s="2" cm="1">
        <f t="array" ref="CT21">INDEX(增益!$A$2:$Q$40,CR21,MATCH(CT$8,增益!$B$1:$Q$1,0)+1)*$AI21</f>
        <v>0</v>
      </c>
      <c r="CU21" s="2" cm="1">
        <f t="array" ref="CU21">INDEX(增益!$A$2:$Q$40,CR21,MATCH(CU$8,增益!$B$1:$Q$1,0)+1)*$AI21</f>
        <v>0</v>
      </c>
      <c r="CV21" s="2" cm="1">
        <f t="array" ref="CV21">INDEX(增益!$A$2:$Q$40,CR21,MATCH(CV$8,增益!$B$1:$Q$1,0)+1)*$AI21</f>
        <v>0</v>
      </c>
      <c r="CW21" s="2" cm="1">
        <f t="array" ref="CW21">INDEX(增益!$A$2:$Q$40,CR21,MATCH(CW$8,增益!$B$1:$Q$1,0)+1)*$AI21</f>
        <v>0</v>
      </c>
      <c r="CX21" s="2" cm="1">
        <f t="array" ref="CX21">INDEX(增益!$A$2:$Q$40,CR21,MATCH(CX$8,增益!$B$1:$Q$1,0)+1)*$AI21</f>
        <v>0</v>
      </c>
      <c r="CY21" s="2" cm="1">
        <f t="array" ref="CY21">INDEX(增益!$A$2:$Q$40,CR21,MATCH(CY$8,增益!$B$1:$Q$1,0)+1)*$AI21</f>
        <v>0</v>
      </c>
      <c r="CZ21" s="2" cm="1">
        <f t="array" ref="CZ21">INDEX(增益!$A$2:$Q$40,CR21,MATCH(CZ$8,增益!$B$1:$Q$1,0)+1)*$AI21</f>
        <v>0</v>
      </c>
      <c r="DA21" s="2" cm="1">
        <f t="array" ref="DA21">INDEX(增益!$A$2:$Q$40,CR21,MATCH(DA$8,增益!$B$1:$Q$1,0)+1)*$AI21</f>
        <v>0</v>
      </c>
      <c r="DB21" s="2" cm="1">
        <f t="array" ref="DB21">INDEX(增益!$A$2:$Q$40,CR21,MATCH(DB$8,增益!$B$1:$Q$1,0)+1)*$AI21</f>
        <v>0</v>
      </c>
      <c r="DI21" s="2" cm="1">
        <f t="array" ref="DI21">INDEX(增益!$A$2:$Q$40,CR21,MATCH(DI$8,增益!$B$1:$Q$1,0)+1)*$AI21</f>
        <v>0</v>
      </c>
      <c r="DJ21" s="2" cm="1">
        <f t="array" ref="DJ21">INDEX(增益!$A$2:$Q$40,CR21,MATCH(DJ$8,增益!$B$1:$Q$1,0)+1)*$AI21</f>
        <v>0</v>
      </c>
      <c r="DK21" s="2" cm="1">
        <f t="array" ref="DK21">INDEX(增益!$A$2:$Q$40,CR21,MATCH(DK$8,增益!$B$1:$Q$1,0)+1)*$AI21</f>
        <v>0</v>
      </c>
      <c r="DM21" s="2" cm="1">
        <f t="array" ref="DM21">INDEX(增益!$A$2:$Q$40,CR21,MATCH(DM$8,增益!$B$1:$Q$1,0)+1)*$AI21</f>
        <v>0</v>
      </c>
      <c r="DO21" s="2" cm="1">
        <f t="array" ref="DO21">INDEX(增益!$A$2:$Q$40,CR21,MATCH(DO$8,增益!$B$1:$Q$1,0)+1)*$AI21</f>
        <v>0</v>
      </c>
      <c r="DP21" s="2" cm="1">
        <f t="array" ref="DP21">INDEX(增益!$A$2:$Q$40,CR21,MATCH(DP$8,增益!$B$1:$Q$1,0)+1)*$AI21</f>
        <v>0</v>
      </c>
      <c r="DT21" s="2" t="str" cm="1">
        <f t="array" ref="DT21">INDEX(云配队!$J26:$AC26,1,DT$1)</f>
        <v>预备备开Q非普攻</v>
      </c>
      <c r="DU21" s="2">
        <f>IFERROR(MATCH(DT21,增益!$A$2:$A$40,FALSE),1)</f>
        <v>35</v>
      </c>
      <c r="DV21" s="2" cm="1">
        <f t="array" ref="DV21">INDEX(增益!$A$2:$Q$40,DU21,MATCH(DV$8,增益!$B$1:$Q$1,0)+1)*$AI21</f>
        <v>0</v>
      </c>
      <c r="DW21" s="2" cm="1">
        <f t="array" ref="DW21">INDEX(增益!$A$2:$Q$40,DU21,MATCH(DW$8,增益!$B$1:$Q$1,0)+1)*$AI21</f>
        <v>0</v>
      </c>
      <c r="DX21" s="2" cm="1">
        <f t="array" ref="DX21">INDEX(增益!$A$2:$Q$40,DU21,MATCH(DX$8,增益!$B$1:$Q$1,0)+1)*$AI21</f>
        <v>0</v>
      </c>
      <c r="DY21" s="2" cm="1">
        <f t="array" ref="DY21">INDEX(增益!$A$2:$Q$40,DU21,MATCH(DY$8,增益!$B$1:$Q$1,0)+1)*$AI21</f>
        <v>0</v>
      </c>
      <c r="DZ21" s="2" cm="1">
        <f t="array" ref="DZ21">INDEX(增益!$A$2:$Q$40,DU21,MATCH(DZ$8,增益!$B$1:$Q$1,0)+1)*$AI21</f>
        <v>0</v>
      </c>
      <c r="EA21" s="2" cm="1">
        <f t="array" ref="EA21">INDEX(增益!$A$2:$Q$40,DU21,MATCH(EA$8,增益!$B$1:$Q$1,0)+1)*$AI21</f>
        <v>0</v>
      </c>
      <c r="EB21" s="2" cm="1">
        <f t="array" ref="EB21">INDEX(增益!$A$2:$Q$40,DU21,MATCH(EB$8,增益!$B$1:$Q$1,0)+1)*$AI21</f>
        <v>0</v>
      </c>
      <c r="EC21" s="2" cm="1">
        <f t="array" ref="EC21">INDEX(增益!$A$2:$Q$40,DU21,MATCH(EC$8,增益!$B$1:$Q$1,0)+1)*$AI21</f>
        <v>0</v>
      </c>
      <c r="ED21" s="2" cm="1">
        <f t="array" ref="ED21">INDEX(增益!$A$2:$Q$40,DU21,MATCH(ED$8,增益!$B$1:$Q$1,0)+1)*$AI21</f>
        <v>0</v>
      </c>
      <c r="EE21" s="2" cm="1">
        <f t="array" ref="EE21">INDEX(增益!$A$2:$Q$40,DU21,MATCH(EE$8,增益!$B$1:$Q$1,0)+1)*$AI21</f>
        <v>0</v>
      </c>
      <c r="EL21" s="2" cm="1">
        <f t="array" ref="EL21">INDEX(增益!$A$2:$Q$40,DU21,MATCH(EL$8,增益!$B$1:$Q$1,0)+1)*$AI21</f>
        <v>0.1</v>
      </c>
      <c r="EM21" s="2" cm="1">
        <f t="array" ref="EM21">INDEX(增益!$A$2:$Q$40,DU21,MATCH(EM$8,增益!$B$1:$Q$1,0)+1)*$AI21</f>
        <v>0</v>
      </c>
      <c r="EN21" s="2" cm="1">
        <f t="array" ref="EN21">INDEX(增益!$A$2:$Q$40,DU21,MATCH(EN$8,增益!$B$1:$Q$1,0)+1)*$AI21</f>
        <v>0</v>
      </c>
      <c r="EP21" s="2" cm="1">
        <f t="array" ref="EP21">INDEX(增益!$A$2:$Q$40,DU21,MATCH(EP$8,增益!$B$1:$Q$1,0)+1)*$AI21</f>
        <v>0</v>
      </c>
      <c r="ER21" s="2" cm="1">
        <f t="array" ref="ER21">INDEX(增益!$A$2:$Q$40,DU21,MATCH(ER$8,增益!$B$1:$Q$1,0)+1)*$AI21</f>
        <v>0</v>
      </c>
      <c r="ES21" s="2" cm="1">
        <f t="array" ref="ES21">INDEX(增益!$A$2:$Q$40,DU21,MATCH(ES$8,增益!$B$1:$Q$1,0)+1)*$AI21</f>
        <v>0</v>
      </c>
      <c r="EW21" s="2" cm="1">
        <f t="array" ref="EW21">INDEX(云配队!$J26:$AC26,1,EW$1)</f>
        <v>0</v>
      </c>
      <c r="EX21" s="2">
        <f>IFERROR(MATCH(EW21,增益!$A$2:$A$40,FALSE),1)</f>
        <v>1</v>
      </c>
      <c r="EY21" s="2" cm="1">
        <f t="array" ref="EY21">INDEX(增益!$A$2:$Q$40,EX21,MATCH(EY$8,增益!$B$1:$Q$1,0)+1)*$AI21</f>
        <v>0</v>
      </c>
      <c r="EZ21" s="2" cm="1">
        <f t="array" ref="EZ21">INDEX(增益!$A$2:$Q$40,EX21,MATCH(EZ$8,增益!$B$1:$Q$1,0)+1)*$AI21</f>
        <v>0</v>
      </c>
      <c r="FA21" s="2" cm="1">
        <f t="array" ref="FA21">INDEX(增益!$A$2:$Q$40,EX21,MATCH(FA$8,增益!$B$1:$Q$1,0)+1)*$AI21</f>
        <v>0</v>
      </c>
      <c r="FB21" s="2" cm="1">
        <f t="array" ref="FB21">INDEX(增益!$A$2:$Q$40,EX21,MATCH(FB$8,增益!$B$1:$Q$1,0)+1)*$AI21</f>
        <v>0</v>
      </c>
      <c r="FC21" s="2" cm="1">
        <f t="array" ref="FC21">INDEX(增益!$A$2:$Q$40,EX21,MATCH(FC$8,增益!$B$1:$Q$1,0)+1)*$AI21</f>
        <v>0</v>
      </c>
      <c r="FD21" s="2" cm="1">
        <f t="array" ref="FD21">INDEX(增益!$A$2:$Q$40,EX21,MATCH(FD$8,增益!$B$1:$Q$1,0)+1)*$AI21</f>
        <v>0</v>
      </c>
      <c r="FE21" s="2" cm="1">
        <f t="array" ref="FE21">INDEX(增益!$A$2:$Q$40,EX21,MATCH(FE$8,增益!$B$1:$Q$1,0)+1)*$AI21</f>
        <v>0</v>
      </c>
      <c r="FF21" s="2" cm="1">
        <f t="array" ref="FF21">INDEX(增益!$A$2:$Q$40,EX21,MATCH(FF$8,增益!$B$1:$Q$1,0)+1)*$AI21</f>
        <v>0</v>
      </c>
      <c r="FG21" s="2" cm="1">
        <f t="array" ref="FG21">INDEX(增益!$A$2:$Q$40,EX21,MATCH(FG$8,增益!$B$1:$Q$1,0)+1)*$AI21</f>
        <v>0</v>
      </c>
      <c r="FH21" s="2" cm="1">
        <f t="array" ref="FH21">INDEX(增益!$A$2:$Q$40,EX21,MATCH(FH$8,增益!$B$1:$Q$1,0)+1)*$AI21</f>
        <v>0</v>
      </c>
      <c r="FO21" s="2" cm="1">
        <f t="array" ref="FO21">INDEX(增益!$A$2:$Q$40,EX21,MATCH(FO$8,增益!$B$1:$Q$1,0)+1)*$AI21</f>
        <v>0</v>
      </c>
      <c r="FP21" s="2" cm="1">
        <f t="array" ref="FP21">INDEX(增益!$A$2:$Q$40,EX21,MATCH(FP$8,增益!$B$1:$Q$1,0)+1)*$AI21</f>
        <v>0</v>
      </c>
      <c r="FQ21" s="2" cm="1">
        <f t="array" ref="FQ21">INDEX(增益!$A$2:$Q$40,EX21,MATCH(FQ$8,增益!$B$1:$Q$1,0)+1)*$AI21</f>
        <v>0</v>
      </c>
      <c r="FS21" s="2" cm="1">
        <f t="array" ref="FS21">INDEX(增益!$A$2:$Q$40,EX21,MATCH(FS$8,增益!$B$1:$Q$1,0)+1)*$AI21</f>
        <v>0</v>
      </c>
      <c r="FU21" s="2" cm="1">
        <f t="array" ref="FU21">INDEX(增益!$A$2:$Q$40,EX21,MATCH(FU$8,增益!$B$1:$Q$1,0)+1)*$AI21</f>
        <v>0</v>
      </c>
      <c r="FV21" s="2" cm="1">
        <f t="array" ref="FV21">INDEX(增益!$A$2:$Q$40,EX21,MATCH(FV$8,增益!$B$1:$Q$1,0)+1)*$AI21</f>
        <v>0</v>
      </c>
      <c r="FZ21" s="2" t="str" cm="1">
        <f t="array" ref="FZ21">INDEX(云配队!$J26:$AC26,1,FZ$1)</f>
        <v>预备备开Q普攻</v>
      </c>
      <c r="GA21" s="2">
        <f>IFERROR(MATCH(FZ21,增益!$A$2:$A$40,FALSE),1)</f>
        <v>34</v>
      </c>
      <c r="GB21" s="2" cm="1">
        <f t="array" ref="GB21">INDEX(增益!$A$2:$Q$40,GA21,MATCH(GB$8,增益!$B$1:$Q$1,0)+1)*$AI21</f>
        <v>0</v>
      </c>
      <c r="GC21" s="2" cm="1">
        <f t="array" ref="GC21">INDEX(增益!$A$2:$Q$40,GA21,MATCH(GC$8,增益!$B$1:$Q$1,0)+1)*$AI21</f>
        <v>0</v>
      </c>
      <c r="GD21" s="2" cm="1">
        <f t="array" ref="GD21">INDEX(增益!$A$2:$Q$40,GA21,MATCH(GD$8,增益!$B$1:$Q$1,0)+1)*$AI21</f>
        <v>0</v>
      </c>
      <c r="GE21" s="2" cm="1">
        <f t="array" ref="GE21">INDEX(增益!$A$2:$Q$40,GA21,MATCH(GE$8,增益!$B$1:$Q$1,0)+1)*$AI21</f>
        <v>0</v>
      </c>
      <c r="GF21" s="2" cm="1">
        <f t="array" ref="GF21">INDEX(增益!$A$2:$Q$40,GA21,MATCH(GF$8,增益!$B$1:$Q$1,0)+1)*$AI21</f>
        <v>0</v>
      </c>
      <c r="GG21" s="2" cm="1">
        <f t="array" ref="GG21">INDEX(增益!$A$2:$Q$40,GA21,MATCH(GG$8,增益!$B$1:$Q$1,0)+1)*$AI21</f>
        <v>0</v>
      </c>
      <c r="GH21" s="2" cm="1">
        <f t="array" ref="GH21">INDEX(增益!$A$2:$Q$40,GA21,MATCH(GH$8,增益!$B$1:$Q$1,0)+1)*$AI21</f>
        <v>0</v>
      </c>
      <c r="GI21" s="2" cm="1">
        <f t="array" ref="GI21">INDEX(增益!$A$2:$Q$40,GA21,MATCH(GI$8,增益!$B$1:$Q$1,0)+1)*$AI21</f>
        <v>0</v>
      </c>
      <c r="GJ21" s="2" cm="1">
        <f t="array" ref="GJ21">INDEX(增益!$A$2:$Q$40,GA21,MATCH(GJ$8,增益!$B$1:$Q$1,0)+1)*$AI21</f>
        <v>0</v>
      </c>
      <c r="GK21" s="2" cm="1">
        <f t="array" ref="GK21">INDEX(增益!$A$2:$Q$40,GA21,MATCH(GK$8,增益!$B$1:$Q$1,0)+1)*$AI21</f>
        <v>0</v>
      </c>
      <c r="GR21" s="2" cm="1">
        <f t="array" ref="GR21">INDEX(增益!$A$2:$Q$40,GA21,MATCH(GR$8,增益!$B$1:$Q$1,0)+1)*$AI21</f>
        <v>0.25</v>
      </c>
      <c r="GS21" s="2" cm="1">
        <f t="array" ref="GS21">INDEX(增益!$A$2:$Q$40,GA21,MATCH(GS$8,增益!$B$1:$Q$1,0)+1)*$AI21</f>
        <v>0</v>
      </c>
      <c r="GT21" s="2" cm="1">
        <f t="array" ref="GT21">INDEX(增益!$A$2:$Q$40,GA21,MATCH(GT$8,增益!$B$1:$Q$1,0)+1)*$AI21</f>
        <v>0</v>
      </c>
      <c r="GV21" s="2" cm="1">
        <f t="array" ref="GV21">INDEX(增益!$A$2:$Q$40,GA21,MATCH(GV$8,增益!$B$1:$Q$1,0)+1)*$AI21</f>
        <v>0</v>
      </c>
      <c r="GX21" s="2" cm="1">
        <f t="array" ref="GX21">INDEX(增益!$A$2:$Q$40,GA21,MATCH(GX$8,增益!$B$1:$Q$1,0)+1)*$AI21</f>
        <v>0</v>
      </c>
      <c r="GY21" s="2" cm="1">
        <f t="array" ref="GY21">INDEX(增益!$A$2:$Q$40,GA21,MATCH(GY$8,增益!$B$1:$Q$1,0)+1)*$AI21</f>
        <v>0</v>
      </c>
      <c r="HC21" s="2" cm="1">
        <f t="array" ref="HC21">INDEX(云配队!$J26:$AC26,1,HC$1)</f>
        <v>0</v>
      </c>
      <c r="HD21" s="2">
        <f>IFERROR(MATCH(HC21,增益!$A$2:$A$40,FALSE),1)</f>
        <v>1</v>
      </c>
      <c r="HE21" s="2" cm="1">
        <f t="array" ref="HE21">INDEX(增益!$A$2:$Q$40,HD21,MATCH(HE$8,增益!$B$1:$Q$1,0)+1)*$AI21</f>
        <v>0</v>
      </c>
      <c r="HF21" s="2" cm="1">
        <f t="array" ref="HF21">INDEX(增益!$A$2:$Q$40,HD21,MATCH(HF$8,增益!$B$1:$Q$1,0)+1)*$AI21</f>
        <v>0</v>
      </c>
      <c r="HG21" s="2" cm="1">
        <f t="array" ref="HG21">INDEX(增益!$A$2:$Q$40,HD21,MATCH(HG$8,增益!$B$1:$Q$1,0)+1)*$AI21</f>
        <v>0</v>
      </c>
      <c r="HH21" s="2" cm="1">
        <f t="array" ref="HH21">INDEX(增益!$A$2:$Q$40,HD21,MATCH(HH$8,增益!$B$1:$Q$1,0)+1)*$AI21</f>
        <v>0</v>
      </c>
      <c r="HI21" s="2" cm="1">
        <f t="array" ref="HI21">INDEX(增益!$A$2:$Q$40,HD21,MATCH(HI$8,增益!$B$1:$Q$1,0)+1)*$AI21</f>
        <v>0</v>
      </c>
      <c r="HJ21" s="2" cm="1">
        <f t="array" ref="HJ21">INDEX(增益!$A$2:$Q$40,HD21,MATCH(HJ$8,增益!$B$1:$Q$1,0)+1)*$AI21</f>
        <v>0</v>
      </c>
      <c r="HK21" s="2" cm="1">
        <f t="array" ref="HK21">INDEX(增益!$A$2:$Q$40,HD21,MATCH(HK$8,增益!$B$1:$Q$1,0)+1)*$AI21</f>
        <v>0</v>
      </c>
      <c r="HL21" s="2" cm="1">
        <f t="array" ref="HL21">INDEX(增益!$A$2:$Q$40,HD21,MATCH(HL$8,增益!$B$1:$Q$1,0)+1)*$AI21</f>
        <v>0</v>
      </c>
      <c r="HM21" s="2" cm="1">
        <f t="array" ref="HM21">INDEX(增益!$A$2:$Q$40,HD21,MATCH(HM$8,增益!$B$1:$Q$1,0)+1)*$AI21</f>
        <v>0</v>
      </c>
      <c r="HN21" s="2" cm="1">
        <f t="array" ref="HN21">INDEX(增益!$A$2:$Q$40,HD21,MATCH(HN$8,增益!$B$1:$Q$1,0)+1)*$AI21</f>
        <v>0</v>
      </c>
      <c r="HU21" s="2" cm="1">
        <f t="array" ref="HU21">INDEX(增益!$A$2:$Q$40,HD21,MATCH(HU$8,增益!$B$1:$Q$1,0)+1)*$AI21</f>
        <v>0</v>
      </c>
      <c r="HV21" s="2" cm="1">
        <f t="array" ref="HV21">INDEX(增益!$A$2:$Q$40,HD21,MATCH(HV$8,增益!$B$1:$Q$1,0)+1)*$AI21</f>
        <v>0</v>
      </c>
      <c r="HW21" s="2" cm="1">
        <f t="array" ref="HW21">INDEX(增益!$A$2:$Q$40,HD21,MATCH(HW$8,增益!$B$1:$Q$1,0)+1)*$AI21</f>
        <v>0</v>
      </c>
      <c r="HY21" s="2" cm="1">
        <f t="array" ref="HY21">INDEX(增益!$A$2:$Q$40,HD21,MATCH(HY$8,增益!$B$1:$Q$1,0)+1)*$AI21</f>
        <v>0</v>
      </c>
      <c r="IA21" s="2" cm="1">
        <f t="array" ref="IA21">INDEX(增益!$A$2:$Q$40,HD21,MATCH(IA$8,增益!$B$1:$Q$1,0)+1)*$AI21</f>
        <v>0</v>
      </c>
      <c r="IB21" s="2" cm="1">
        <f t="array" ref="IB21">INDEX(增益!$A$2:$Q$40,HD21,MATCH(IB$8,增益!$B$1:$Q$1,0)+1)*$AI21</f>
        <v>0</v>
      </c>
      <c r="IF21" s="2" t="str" cm="1">
        <f t="array" ref="IF21">INDEX(云配队!$J26:$AC26,1,IF$1)</f>
        <v>预备备开Q普攻</v>
      </c>
      <c r="IG21" s="2">
        <f>IFERROR(MATCH(IF21,增益!$A$2:$A$40,FALSE),1)</f>
        <v>34</v>
      </c>
      <c r="IH21" s="2" cm="1">
        <f t="array" ref="IH21">INDEX(增益!$A$2:$Q$40,IG21,MATCH(IH$8,增益!$B$1:$Q$1,0)+1)*$AI21</f>
        <v>0</v>
      </c>
      <c r="II21" s="2" cm="1">
        <f t="array" ref="II21">INDEX(增益!$A$2:$Q$40,IG21,MATCH(II$8,增益!$B$1:$Q$1,0)+1)*$AI21</f>
        <v>0</v>
      </c>
      <c r="IJ21" s="2" cm="1">
        <f t="array" ref="IJ21">INDEX(增益!$A$2:$Q$40,IG21,MATCH(IJ$8,增益!$B$1:$Q$1,0)+1)*$AI21</f>
        <v>0</v>
      </c>
      <c r="IK21" s="2" cm="1">
        <f t="array" ref="IK21">INDEX(增益!$A$2:$Q$40,IG21,MATCH(IK$8,增益!$B$1:$Q$1,0)+1)*$AI21</f>
        <v>0</v>
      </c>
      <c r="IL21" s="2" cm="1">
        <f t="array" ref="IL21">INDEX(增益!$A$2:$Q$40,IG21,MATCH(IL$8,增益!$B$1:$Q$1,0)+1)*$AI21</f>
        <v>0</v>
      </c>
      <c r="IM21" s="2" cm="1">
        <f t="array" ref="IM21">INDEX(增益!$A$2:$Q$40,IG21,MATCH(IM$8,增益!$B$1:$Q$1,0)+1)*$AI21</f>
        <v>0</v>
      </c>
      <c r="IN21" s="2" cm="1">
        <f t="array" ref="IN21">INDEX(增益!$A$2:$Q$40,IG21,MATCH(IN$8,增益!$B$1:$Q$1,0)+1)*$AI21</f>
        <v>0</v>
      </c>
      <c r="IO21" s="2" cm="1">
        <f t="array" ref="IO21">INDEX(增益!$A$2:$Q$40,IG21,MATCH(IO$8,增益!$B$1:$Q$1,0)+1)*$AI21</f>
        <v>0</v>
      </c>
      <c r="IP21" s="2" cm="1">
        <f t="array" ref="IP21">INDEX(增益!$A$2:$Q$40,IG21,MATCH(IP$8,增益!$B$1:$Q$1,0)+1)*$AI21</f>
        <v>0</v>
      </c>
      <c r="IQ21" s="2" cm="1">
        <f t="array" ref="IQ21">INDEX(增益!$A$2:$Q$40,IG21,MATCH(IQ$8,增益!$B$1:$Q$1,0)+1)*$AI21</f>
        <v>0</v>
      </c>
      <c r="IX21" s="2" cm="1">
        <f t="array" ref="IX21">INDEX(增益!$A$2:$Q$40,IG21,MATCH(IX$8,增益!$B$1:$Q$1,0)+1)*$AI21</f>
        <v>0.25</v>
      </c>
      <c r="IY21" s="2" cm="1">
        <f t="array" ref="IY21">INDEX(增益!$A$2:$Q$40,IG21,MATCH(IY$8,增益!$B$1:$Q$1,0)+1)*$AI21</f>
        <v>0</v>
      </c>
      <c r="IZ21" s="2" cm="1">
        <f t="array" ref="IZ21">INDEX(增益!$A$2:$Q$40,IG21,MATCH(IZ$8,增益!$B$1:$Q$1,0)+1)*$AI21</f>
        <v>0</v>
      </c>
      <c r="JB21" s="2" cm="1">
        <f t="array" ref="JB21">INDEX(增益!$A$2:$Q$40,IG21,MATCH(JB$8,增益!$B$1:$Q$1,0)+1)*$AI21</f>
        <v>0</v>
      </c>
      <c r="JD21" s="2" cm="1">
        <f t="array" ref="JD21">INDEX(增益!$A$2:$Q$40,IG21,MATCH(JD$8,增益!$B$1:$Q$1,0)+1)*$AI21</f>
        <v>0</v>
      </c>
      <c r="JE21" s="2" cm="1">
        <f t="array" ref="JE21">INDEX(增益!$A$2:$Q$40,IG21,MATCH(JE$8,增益!$B$1:$Q$1,0)+1)*$AI21</f>
        <v>0</v>
      </c>
      <c r="JI21" s="2" cm="1">
        <f t="array" ref="JI21">INDEX(云配队!$J26:$AC26,1,JI$1)</f>
        <v>0</v>
      </c>
      <c r="JJ21" s="2">
        <f>IFERROR(MATCH(JI21,增益!$A$2:$A$40,FALSE),1)</f>
        <v>1</v>
      </c>
      <c r="JK21" s="2" cm="1">
        <f t="array" ref="JK21">INDEX(增益!$A$2:$Q$40,JJ21,MATCH(JK$8,增益!$B$1:$Q$1,0)+1)*$AI21</f>
        <v>0</v>
      </c>
      <c r="JL21" s="2" cm="1">
        <f t="array" ref="JL21">INDEX(增益!$A$2:$Q$40,JJ21,MATCH(JL$8,增益!$B$1:$Q$1,0)+1)*$AI21</f>
        <v>0</v>
      </c>
      <c r="JM21" s="2" cm="1">
        <f t="array" ref="JM21">INDEX(增益!$A$2:$Q$40,JJ21,MATCH(JM$8,增益!$B$1:$Q$1,0)+1)*$AI21</f>
        <v>0</v>
      </c>
      <c r="JN21" s="2" cm="1">
        <f t="array" ref="JN21">INDEX(增益!$A$2:$Q$40,JJ21,MATCH(JN$8,增益!$B$1:$Q$1,0)+1)*$AI21</f>
        <v>0</v>
      </c>
      <c r="JO21" s="2" cm="1">
        <f t="array" ref="JO21">INDEX(增益!$A$2:$Q$40,JJ21,MATCH(JO$8,增益!$B$1:$Q$1,0)+1)*$AI21</f>
        <v>0</v>
      </c>
      <c r="JP21" s="2" cm="1">
        <f t="array" ref="JP21">INDEX(增益!$A$2:$Q$40,JJ21,MATCH(JP$8,增益!$B$1:$Q$1,0)+1)*$AI21</f>
        <v>0</v>
      </c>
      <c r="JQ21" s="2" cm="1">
        <f t="array" ref="JQ21">INDEX(增益!$A$2:$Q$40,JJ21,MATCH(JQ$8,增益!$B$1:$Q$1,0)+1)*$AI21</f>
        <v>0</v>
      </c>
      <c r="JR21" s="2" cm="1">
        <f t="array" ref="JR21">INDEX(增益!$A$2:$Q$40,JJ21,MATCH(JR$8,增益!$B$1:$Q$1,0)+1)*$AI21</f>
        <v>0</v>
      </c>
      <c r="JS21" s="2" cm="1">
        <f t="array" ref="JS21">INDEX(增益!$A$2:$Q$40,JJ21,MATCH(JS$8,增益!$B$1:$Q$1,0)+1)*$AI21</f>
        <v>0</v>
      </c>
      <c r="JT21" s="2" cm="1">
        <f t="array" ref="JT21">INDEX(增益!$A$2:$Q$40,JJ21,MATCH(JT$8,增益!$B$1:$Q$1,0)+1)*$AI21</f>
        <v>0</v>
      </c>
      <c r="KA21" s="2" cm="1">
        <f t="array" ref="KA21">INDEX(增益!$A$2:$Q$40,JJ21,MATCH(KA$8,增益!$B$1:$Q$1,0)+1)*$AI21</f>
        <v>0</v>
      </c>
      <c r="KB21" s="2" cm="1">
        <f t="array" ref="KB21">INDEX(增益!$A$2:$Q$40,JJ21,MATCH(KB$8,增益!$B$1:$Q$1,0)+1)*$AI21</f>
        <v>0</v>
      </c>
      <c r="KC21" s="2" cm="1">
        <f t="array" ref="KC21">INDEX(增益!$A$2:$Q$40,JJ21,MATCH(KC$8,增益!$B$1:$Q$1,0)+1)*$AI21</f>
        <v>0</v>
      </c>
      <c r="KE21" s="2" cm="1">
        <f t="array" ref="KE21">INDEX(增益!$A$2:$Q$40,JJ21,MATCH(KE$8,增益!$B$1:$Q$1,0)+1)*$AI21</f>
        <v>0</v>
      </c>
      <c r="KG21" s="2" cm="1">
        <f t="array" ref="KG21">INDEX(增益!$A$2:$Q$40,JJ21,MATCH(KG$8,增益!$B$1:$Q$1,0)+1)*$AI21</f>
        <v>0</v>
      </c>
      <c r="KH21" s="2" cm="1">
        <f t="array" ref="KH21">INDEX(增益!$A$2:$Q$40,JJ21,MATCH(KH$8,增益!$B$1:$Q$1,0)+1)*$AI21</f>
        <v>0</v>
      </c>
      <c r="KL21" s="2" cm="1">
        <f t="array" ref="KL21">INDEX(云配队!$J26:$AC26,1,KL$1)</f>
        <v>0</v>
      </c>
      <c r="KM21" s="2">
        <f>IFERROR(MATCH(KL21,增益!$A$2:$A$40,FALSE),1)</f>
        <v>1</v>
      </c>
      <c r="KN21" s="2" cm="1">
        <f t="array" ref="KN21">INDEX(增益!$A$2:$Q$40,KM21,MATCH(KN$8,增益!$B$1:$Q$1,0)+1)*$AI21</f>
        <v>0</v>
      </c>
      <c r="KO21" s="2" cm="1">
        <f t="array" ref="KO21">INDEX(增益!$A$2:$Q$40,KM21,MATCH(KO$8,增益!$B$1:$Q$1,0)+1)*$AI21</f>
        <v>0</v>
      </c>
      <c r="KP21" s="2" cm="1">
        <f t="array" ref="KP21">INDEX(增益!$A$2:$Q$40,KM21,MATCH(KP$8,增益!$B$1:$Q$1,0)+1)*$AI21</f>
        <v>0</v>
      </c>
      <c r="KQ21" s="2" cm="1">
        <f t="array" ref="KQ21">INDEX(增益!$A$2:$Q$40,KM21,MATCH(KQ$8,增益!$B$1:$Q$1,0)+1)*$AI21</f>
        <v>0</v>
      </c>
      <c r="KR21" s="2" cm="1">
        <f t="array" ref="KR21">INDEX(增益!$A$2:$Q$40,KM21,MATCH(KR$8,增益!$B$1:$Q$1,0)+1)*$AI21</f>
        <v>0</v>
      </c>
      <c r="KS21" s="2" cm="1">
        <f t="array" ref="KS21">INDEX(增益!$A$2:$Q$40,KM21,MATCH(KS$8,增益!$B$1:$Q$1,0)+1)*$AI21</f>
        <v>0</v>
      </c>
      <c r="KT21" s="2" cm="1">
        <f t="array" ref="KT21">INDEX(增益!$A$2:$Q$40,KM21,MATCH(KT$8,增益!$B$1:$Q$1,0)+1)*$AI21</f>
        <v>0</v>
      </c>
      <c r="KU21" s="2" cm="1">
        <f t="array" ref="KU21">INDEX(增益!$A$2:$Q$40,KM21,MATCH(KU$8,增益!$B$1:$Q$1,0)+1)*$AI21</f>
        <v>0</v>
      </c>
      <c r="KV21" s="2" cm="1">
        <f t="array" ref="KV21">INDEX(增益!$A$2:$Q$40,KM21,MATCH(KV$8,增益!$B$1:$Q$1,0)+1)*$AI21</f>
        <v>0</v>
      </c>
      <c r="KW21" s="2" cm="1">
        <f t="array" ref="KW21">INDEX(增益!$A$2:$Q$40,KM21,MATCH(KW$8,增益!$B$1:$Q$1,0)+1)*$AI21</f>
        <v>0</v>
      </c>
      <c r="LD21" s="2" cm="1">
        <f t="array" ref="LD21">INDEX(增益!$A$2:$Q$40,KM21,MATCH(LD$8,增益!$B$1:$Q$1,0)+1)*$AI21</f>
        <v>0</v>
      </c>
      <c r="LE21" s="2" cm="1">
        <f t="array" ref="LE21">INDEX(增益!$A$2:$Q$40,KM21,MATCH(LE$8,增益!$B$1:$Q$1,0)+1)*$AI21</f>
        <v>0</v>
      </c>
      <c r="LF21" s="2" cm="1">
        <f t="array" ref="LF21">INDEX(增益!$A$2:$Q$40,KM21,MATCH(LF$8,增益!$B$1:$Q$1,0)+1)*$AI21</f>
        <v>0</v>
      </c>
      <c r="LH21" s="2" cm="1">
        <f t="array" ref="LH21">INDEX(增益!$A$2:$Q$40,KM21,MATCH(LH$8,增益!$B$1:$Q$1,0)+1)*$AI21</f>
        <v>0</v>
      </c>
      <c r="LJ21" s="2" cm="1">
        <f t="array" ref="LJ21">INDEX(增益!$A$2:$Q$40,KM21,MATCH(LJ$8,增益!$B$1:$Q$1,0)+1)*$AI21</f>
        <v>0</v>
      </c>
      <c r="LK21" s="2" cm="1">
        <f t="array" ref="LK21">INDEX(增益!$A$2:$Q$40,KM21,MATCH(LK$8,增益!$B$1:$Q$1,0)+1)*$AI21</f>
        <v>0</v>
      </c>
      <c r="LO21" s="2" cm="1">
        <f t="array" ref="LO21">INDEX(云配队!$J26:$AC26,1,LO$1)</f>
        <v>0</v>
      </c>
      <c r="LP21" s="2">
        <f>IFERROR(MATCH(LO21,增益!$A$2:$A$40,FALSE),1)</f>
        <v>1</v>
      </c>
      <c r="LQ21" s="2" cm="1">
        <f t="array" ref="LQ21">INDEX(增益!$A$2:$Q$40,LP21,MATCH(LQ$8,增益!$B$1:$Q$1,0)+1)*$AI21</f>
        <v>0</v>
      </c>
      <c r="LR21" s="2" cm="1">
        <f t="array" ref="LR21">INDEX(增益!$A$2:$Q$40,LP21,MATCH(LR$8,增益!$B$1:$Q$1,0)+1)*$AI21</f>
        <v>0</v>
      </c>
      <c r="LS21" s="2" cm="1">
        <f t="array" ref="LS21">INDEX(增益!$A$2:$Q$40,LP21,MATCH(LS$8,增益!$B$1:$Q$1,0)+1)*$AI21</f>
        <v>0</v>
      </c>
      <c r="LT21" s="2" cm="1">
        <f t="array" ref="LT21">INDEX(增益!$A$2:$Q$40,LP21,MATCH(LT$8,增益!$B$1:$Q$1,0)+1)*$AI21</f>
        <v>0</v>
      </c>
      <c r="LU21" s="2" cm="1">
        <f t="array" ref="LU21">INDEX(增益!$A$2:$Q$40,LP21,MATCH(LU$8,增益!$B$1:$Q$1,0)+1)*$AI21</f>
        <v>0</v>
      </c>
      <c r="LV21" s="2" cm="1">
        <f t="array" ref="LV21">INDEX(增益!$A$2:$Q$40,LP21,MATCH(LV$8,增益!$B$1:$Q$1,0)+1)*$AI21</f>
        <v>0</v>
      </c>
      <c r="LW21" s="2" cm="1">
        <f t="array" ref="LW21">INDEX(增益!$A$2:$Q$40,LP21,MATCH(LW$8,增益!$B$1:$Q$1,0)+1)*$AI21</f>
        <v>0</v>
      </c>
      <c r="LX21" s="2" cm="1">
        <f t="array" ref="LX21">INDEX(增益!$A$2:$Q$40,LP21,MATCH(LX$8,增益!$B$1:$Q$1,0)+1)*$AI21</f>
        <v>0</v>
      </c>
      <c r="LY21" s="2" cm="1">
        <f t="array" ref="LY21">INDEX(增益!$A$2:$Q$40,LP21,MATCH(LY$8,增益!$B$1:$Q$1,0)+1)*$AI21</f>
        <v>0</v>
      </c>
      <c r="LZ21" s="2" cm="1">
        <f t="array" ref="LZ21">INDEX(增益!$A$2:$Q$40,LP21,MATCH(LZ$8,增益!$B$1:$Q$1,0)+1)*$AI21</f>
        <v>0</v>
      </c>
      <c r="MG21" s="2" cm="1">
        <f t="array" ref="MG21">INDEX(增益!$A$2:$Q$40,LP21,MATCH(MG$8,增益!$B$1:$Q$1,0)+1)*$AI21</f>
        <v>0</v>
      </c>
      <c r="MH21" s="2" cm="1">
        <f t="array" ref="MH21">INDEX(增益!$A$2:$Q$40,LP21,MATCH(MH$8,增益!$B$1:$Q$1,0)+1)*$AI21</f>
        <v>0</v>
      </c>
      <c r="MI21" s="2" cm="1">
        <f t="array" ref="MI21">INDEX(增益!$A$2:$Q$40,LP21,MATCH(MI$8,增益!$B$1:$Q$1,0)+1)*$AI21</f>
        <v>0</v>
      </c>
      <c r="MK21" s="2" cm="1">
        <f t="array" ref="MK21">INDEX(增益!$A$2:$Q$40,LP21,MATCH(MK$8,增益!$B$1:$Q$1,0)+1)*$AI21</f>
        <v>0</v>
      </c>
      <c r="MM21" s="2" cm="1">
        <f t="array" ref="MM21">INDEX(增益!$A$2:$Q$40,LP21,MATCH(MM$8,增益!$B$1:$Q$1,0)+1)*$AI21</f>
        <v>0</v>
      </c>
      <c r="MN21" s="2" cm="1">
        <f t="array" ref="MN21">INDEX(增益!$A$2:$Q$40,LP21,MATCH(MN$8,增益!$B$1:$Q$1,0)+1)*$AI21</f>
        <v>0</v>
      </c>
      <c r="MR21" s="2" cm="1">
        <f t="array" ref="MR21">INDEX(云配队!$J26:$AC26,1,MR$1)</f>
        <v>0</v>
      </c>
      <c r="MS21" s="2">
        <f>IFERROR(MATCH(MR21,增益!$A$2:$A$40,FALSE),1)</f>
        <v>1</v>
      </c>
      <c r="MT21" s="2" cm="1">
        <f t="array" ref="MT21">INDEX(增益!$A$2:$Q$40,MS21,MATCH(MT$8,增益!$B$1:$Q$1,0)+1)*$AI21</f>
        <v>0</v>
      </c>
      <c r="MU21" s="2" cm="1">
        <f t="array" ref="MU21">INDEX(增益!$A$2:$Q$40,MS21,MATCH(MU$8,增益!$B$1:$Q$1,0)+1)*$AI21</f>
        <v>0</v>
      </c>
      <c r="MV21" s="2" cm="1">
        <f t="array" ref="MV21">INDEX(增益!$A$2:$Q$40,MS21,MATCH(MV$8,增益!$B$1:$Q$1,0)+1)*$AI21</f>
        <v>0</v>
      </c>
      <c r="MW21" s="2" cm="1">
        <f t="array" ref="MW21">INDEX(增益!$A$2:$Q$40,MS21,MATCH(MW$8,增益!$B$1:$Q$1,0)+1)*$AI21</f>
        <v>0</v>
      </c>
      <c r="MX21" s="2" cm="1">
        <f t="array" ref="MX21">INDEX(增益!$A$2:$Q$40,MS21,MATCH(MX$8,增益!$B$1:$Q$1,0)+1)*$AI21</f>
        <v>0</v>
      </c>
      <c r="MY21" s="2" cm="1">
        <f t="array" ref="MY21">INDEX(增益!$A$2:$Q$40,MS21,MATCH(MY$8,增益!$B$1:$Q$1,0)+1)*$AI21</f>
        <v>0</v>
      </c>
      <c r="MZ21" s="2" cm="1">
        <f t="array" ref="MZ21">INDEX(增益!$A$2:$Q$40,MS21,MATCH(MZ$8,增益!$B$1:$Q$1,0)+1)*$AI21</f>
        <v>0</v>
      </c>
      <c r="NA21" s="2" cm="1">
        <f t="array" ref="NA21">INDEX(增益!$A$2:$Q$40,MS21,MATCH(NA$8,增益!$B$1:$Q$1,0)+1)*$AI21</f>
        <v>0</v>
      </c>
      <c r="NB21" s="2" cm="1">
        <f t="array" ref="NB21">INDEX(增益!$A$2:$Q$40,MS21,MATCH(NB$8,增益!$B$1:$Q$1,0)+1)*$AI21</f>
        <v>0</v>
      </c>
      <c r="NC21" s="2" cm="1">
        <f t="array" ref="NC21">INDEX(增益!$A$2:$Q$40,MS21,MATCH(NC$8,增益!$B$1:$Q$1,0)+1)*$AI21</f>
        <v>0</v>
      </c>
      <c r="NJ21" s="2" cm="1">
        <f t="array" ref="NJ21">INDEX(增益!$A$2:$Q$40,MS21,MATCH(NJ$8,增益!$B$1:$Q$1,0)+1)*$AI21</f>
        <v>0</v>
      </c>
      <c r="NK21" s="2" cm="1">
        <f t="array" ref="NK21">INDEX(增益!$A$2:$Q$40,MS21,MATCH(NK$8,增益!$B$1:$Q$1,0)+1)*$AI21</f>
        <v>0</v>
      </c>
      <c r="NL21" s="2" cm="1">
        <f t="array" ref="NL21">INDEX(增益!$A$2:$Q$40,MS21,MATCH(NL$8,增益!$B$1:$Q$1,0)+1)*$AI21</f>
        <v>0</v>
      </c>
      <c r="NN21" s="2" cm="1">
        <f t="array" ref="NN21">INDEX(增益!$A$2:$Q$40,MS21,MATCH(NN$8,增益!$B$1:$Q$1,0)+1)*$AI21</f>
        <v>0</v>
      </c>
      <c r="NP21" s="2" cm="1">
        <f t="array" ref="NP21">INDEX(增益!$A$2:$Q$40,MS21,MATCH(NP$8,增益!$B$1:$Q$1,0)+1)*$AI21</f>
        <v>0</v>
      </c>
      <c r="NQ21" s="2" cm="1">
        <f t="array" ref="NQ21">INDEX(增益!$A$2:$Q$40,MS21,MATCH(NQ$8,增益!$B$1:$Q$1,0)+1)*$AI21</f>
        <v>0</v>
      </c>
      <c r="NU21" s="2" cm="1">
        <f t="array" ref="NU21">INDEX(云配队!$J26:$AC26,1,NU$1)</f>
        <v>0</v>
      </c>
      <c r="NV21" s="2">
        <f>IFERROR(MATCH(NU21,增益!$A$2:$A$40,FALSE),1)</f>
        <v>1</v>
      </c>
      <c r="NW21" s="2" cm="1">
        <f t="array" ref="NW21">INDEX(增益!$A$2:$Q$40,NV21,MATCH(NW$8,增益!$B$1:$Q$1,0)+1)*$AI21</f>
        <v>0</v>
      </c>
      <c r="NX21" s="2" cm="1">
        <f t="array" ref="NX21">INDEX(增益!$A$2:$Q$40,NV21,MATCH(NX$8,增益!$B$1:$Q$1,0)+1)*$AI21</f>
        <v>0</v>
      </c>
      <c r="NY21" s="2" cm="1">
        <f t="array" ref="NY21">INDEX(增益!$A$2:$Q$40,NV21,MATCH(NY$8,增益!$B$1:$Q$1,0)+1)*$AI21</f>
        <v>0</v>
      </c>
      <c r="NZ21" s="2" cm="1">
        <f t="array" ref="NZ21">INDEX(增益!$A$2:$Q$40,NV21,MATCH(NZ$8,增益!$B$1:$Q$1,0)+1)*$AI21</f>
        <v>0</v>
      </c>
      <c r="OA21" s="2" cm="1">
        <f t="array" ref="OA21">INDEX(增益!$A$2:$Q$40,NV21,MATCH(OA$8,增益!$B$1:$Q$1,0)+1)*$AI21</f>
        <v>0</v>
      </c>
      <c r="OB21" s="2" cm="1">
        <f t="array" ref="OB21">INDEX(增益!$A$2:$Q$40,NV21,MATCH(OB$8,增益!$B$1:$Q$1,0)+1)*$AI21</f>
        <v>0</v>
      </c>
      <c r="OC21" s="2" cm="1">
        <f t="array" ref="OC21">INDEX(增益!$A$2:$Q$40,NV21,MATCH(OC$8,增益!$B$1:$Q$1,0)+1)*$AI21</f>
        <v>0</v>
      </c>
      <c r="OD21" s="2" cm="1">
        <f t="array" ref="OD21">INDEX(增益!$A$2:$Q$40,NV21,MATCH(OD$8,增益!$B$1:$Q$1,0)+1)*$AI21</f>
        <v>0</v>
      </c>
      <c r="OE21" s="2" cm="1">
        <f t="array" ref="OE21">INDEX(增益!$A$2:$Q$40,NV21,MATCH(OE$8,增益!$B$1:$Q$1,0)+1)*$AI21</f>
        <v>0</v>
      </c>
      <c r="OF21" s="2" cm="1">
        <f t="array" ref="OF21">INDEX(增益!$A$2:$Q$40,NV21,MATCH(OF$8,增益!$B$1:$Q$1,0)+1)*$AI21</f>
        <v>0</v>
      </c>
      <c r="OM21" s="2" cm="1">
        <f t="array" ref="OM21">INDEX(增益!$A$2:$Q$40,NV21,MATCH(OM$8,增益!$B$1:$Q$1,0)+1)*$AI21</f>
        <v>0</v>
      </c>
      <c r="ON21" s="2" cm="1">
        <f t="array" ref="ON21">INDEX(增益!$A$2:$Q$40,NV21,MATCH(ON$8,增益!$B$1:$Q$1,0)+1)*$AI21</f>
        <v>0</v>
      </c>
      <c r="OO21" s="2" cm="1">
        <f t="array" ref="OO21">INDEX(增益!$A$2:$Q$40,NV21,MATCH(OO$8,增益!$B$1:$Q$1,0)+1)*$AI21</f>
        <v>0</v>
      </c>
      <c r="OQ21" s="2" cm="1">
        <f t="array" ref="OQ21">INDEX(增益!$A$2:$Q$40,NV21,MATCH(OQ$8,增益!$B$1:$Q$1,0)+1)*$AI21</f>
        <v>0</v>
      </c>
      <c r="OS21" s="2" cm="1">
        <f t="array" ref="OS21">INDEX(增益!$A$2:$Q$40,NV21,MATCH(OS$8,增益!$B$1:$Q$1,0)+1)*$AI21</f>
        <v>0</v>
      </c>
      <c r="OT21" s="2" cm="1">
        <f t="array" ref="OT21">INDEX(增益!$A$2:$Q$40,NV21,MATCH(OT$8,增益!$B$1:$Q$1,0)+1)*$AI21</f>
        <v>0</v>
      </c>
      <c r="OX21" s="2" cm="1">
        <f t="array" ref="OX21">INDEX(云配队!$J26:$AC26,1,OX$1)</f>
        <v>0</v>
      </c>
      <c r="OY21" s="2">
        <f>IFERROR(MATCH(OX21,增益!$A$2:$A$40,FALSE),1)</f>
        <v>1</v>
      </c>
      <c r="OZ21" s="2" cm="1">
        <f t="array" ref="OZ21">INDEX(增益!$A$2:$Q$40,OY21,MATCH(OZ$8,增益!$B$1:$Q$1,0)+1)*$AI21</f>
        <v>0</v>
      </c>
      <c r="PA21" s="2" cm="1">
        <f t="array" ref="PA21">INDEX(增益!$A$2:$Q$40,OY21,MATCH(PA$8,增益!$B$1:$Q$1,0)+1)*$AI21</f>
        <v>0</v>
      </c>
      <c r="PB21" s="2" cm="1">
        <f t="array" ref="PB21">INDEX(增益!$A$2:$Q$40,OY21,MATCH(PB$8,增益!$B$1:$Q$1,0)+1)*$AI21</f>
        <v>0</v>
      </c>
      <c r="PC21" s="2" cm="1">
        <f t="array" ref="PC21">INDEX(增益!$A$2:$Q$40,OY21,MATCH(PC$8,增益!$B$1:$Q$1,0)+1)*$AI21</f>
        <v>0</v>
      </c>
      <c r="PD21" s="2" cm="1">
        <f t="array" ref="PD21">INDEX(增益!$A$2:$Q$40,OY21,MATCH(PD$8,增益!$B$1:$Q$1,0)+1)*$AI21</f>
        <v>0</v>
      </c>
      <c r="PE21" s="2" cm="1">
        <f t="array" ref="PE21">INDEX(增益!$A$2:$Q$40,OY21,MATCH(PE$8,增益!$B$1:$Q$1,0)+1)*$AI21</f>
        <v>0</v>
      </c>
      <c r="PF21" s="2" cm="1">
        <f t="array" ref="PF21">INDEX(增益!$A$2:$Q$40,OY21,MATCH(PF$8,增益!$B$1:$Q$1,0)+1)*$AI21</f>
        <v>0</v>
      </c>
      <c r="PG21" s="2" cm="1">
        <f t="array" ref="PG21">INDEX(增益!$A$2:$Q$40,OY21,MATCH(PG$8,增益!$B$1:$Q$1,0)+1)*$AI21</f>
        <v>0</v>
      </c>
      <c r="PH21" s="2" cm="1">
        <f t="array" ref="PH21">INDEX(增益!$A$2:$Q$40,OY21,MATCH(PH$8,增益!$B$1:$Q$1,0)+1)*$AI21</f>
        <v>0</v>
      </c>
      <c r="PI21" s="2" cm="1">
        <f t="array" ref="PI21">INDEX(增益!$A$2:$Q$40,OY21,MATCH(PI$8,增益!$B$1:$Q$1,0)+1)*$AI21</f>
        <v>0</v>
      </c>
      <c r="PP21" s="2" cm="1">
        <f t="array" ref="PP21">INDEX(增益!$A$2:$Q$40,OY21,MATCH(PP$8,增益!$B$1:$Q$1,0)+1)*$AI21</f>
        <v>0</v>
      </c>
      <c r="PQ21" s="2" cm="1">
        <f t="array" ref="PQ21">INDEX(增益!$A$2:$Q$40,OY21,MATCH(PQ$8,增益!$B$1:$Q$1,0)+1)*$AI21</f>
        <v>0</v>
      </c>
      <c r="PR21" s="2" cm="1">
        <f t="array" ref="PR21">INDEX(增益!$A$2:$Q$40,OY21,MATCH(PR$8,增益!$B$1:$Q$1,0)+1)*$AI21</f>
        <v>0</v>
      </c>
      <c r="PT21" s="2" cm="1">
        <f t="array" ref="PT21">INDEX(增益!$A$2:$Q$40,OY21,MATCH(PT$8,增益!$B$1:$Q$1,0)+1)*$AI21</f>
        <v>0</v>
      </c>
      <c r="PV21" s="2" cm="1">
        <f t="array" ref="PV21">INDEX(增益!$A$2:$Q$40,OY21,MATCH(PV$8,增益!$B$1:$Q$1,0)+1)*$AI21</f>
        <v>0</v>
      </c>
      <c r="PW21" s="2" cm="1">
        <f t="array" ref="PW21">INDEX(增益!$A$2:$Q$40,OY21,MATCH(PW$8,增益!$B$1:$Q$1,0)+1)*$AI21</f>
        <v>0</v>
      </c>
      <c r="QA21" s="2" cm="1">
        <f t="array" ref="QA21">INDEX(云配队!$J26:$AC26,1,QA$1)</f>
        <v>0</v>
      </c>
      <c r="QB21" s="2">
        <f>IFERROR(MATCH(QA21,增益!$A$2:$A$40,FALSE),1)</f>
        <v>1</v>
      </c>
      <c r="QC21" s="2" cm="1">
        <f t="array" ref="QC21">INDEX(增益!$A$2:$Q$40,QB21,MATCH(QC$8,增益!$B$1:$Q$1,0)+1)*$AI21</f>
        <v>0</v>
      </c>
      <c r="QD21" s="2" cm="1">
        <f t="array" ref="QD21">INDEX(增益!$A$2:$Q$40,QB21,MATCH(QD$8,增益!$B$1:$Q$1,0)+1)*$AI21</f>
        <v>0</v>
      </c>
      <c r="QE21" s="2" cm="1">
        <f t="array" ref="QE21">INDEX(增益!$A$2:$Q$40,QB21,MATCH(QE$8,增益!$B$1:$Q$1,0)+1)*$AI21</f>
        <v>0</v>
      </c>
      <c r="QF21" s="2" cm="1">
        <f t="array" ref="QF21">INDEX(增益!$A$2:$Q$40,QB21,MATCH(QF$8,增益!$B$1:$Q$1,0)+1)*$AI21</f>
        <v>0</v>
      </c>
      <c r="QG21" s="2" cm="1">
        <f t="array" ref="QG21">INDEX(增益!$A$2:$Q$40,QB21,MATCH(QG$8,增益!$B$1:$Q$1,0)+1)*$AI21</f>
        <v>0</v>
      </c>
      <c r="QH21" s="2" cm="1">
        <f t="array" ref="QH21">INDEX(增益!$A$2:$Q$40,QB21,MATCH(QH$8,增益!$B$1:$Q$1,0)+1)*$AI21</f>
        <v>0</v>
      </c>
      <c r="QI21" s="2" cm="1">
        <f t="array" ref="QI21">INDEX(增益!$A$2:$Q$40,QB21,MATCH(QI$8,增益!$B$1:$Q$1,0)+1)*$AI21</f>
        <v>0</v>
      </c>
      <c r="QJ21" s="2" cm="1">
        <f t="array" ref="QJ21">INDEX(增益!$A$2:$Q$40,QB21,MATCH(QJ$8,增益!$B$1:$Q$1,0)+1)*$AI21</f>
        <v>0</v>
      </c>
      <c r="QK21" s="2" cm="1">
        <f t="array" ref="QK21">INDEX(增益!$A$2:$Q$40,QB21,MATCH(QK$8,增益!$B$1:$Q$1,0)+1)*$AI21</f>
        <v>0</v>
      </c>
      <c r="QL21" s="2" cm="1">
        <f t="array" ref="QL21">INDEX(增益!$A$2:$Q$40,QB21,MATCH(QL$8,增益!$B$1:$Q$1,0)+1)*$AI21</f>
        <v>0</v>
      </c>
      <c r="QS21" s="2" cm="1">
        <f t="array" ref="QS21">INDEX(增益!$A$2:$Q$40,QB21,MATCH(QS$8,增益!$B$1:$Q$1,0)+1)*$AI21</f>
        <v>0</v>
      </c>
      <c r="QT21" s="2" cm="1">
        <f t="array" ref="QT21">INDEX(增益!$A$2:$Q$40,QB21,MATCH(QT$8,增益!$B$1:$Q$1,0)+1)*$AI21</f>
        <v>0</v>
      </c>
      <c r="QU21" s="2" cm="1">
        <f t="array" ref="QU21">INDEX(增益!$A$2:$Q$40,QB21,MATCH(QU$8,增益!$B$1:$Q$1,0)+1)*$AI21</f>
        <v>0</v>
      </c>
      <c r="QW21" s="2" cm="1">
        <f t="array" ref="QW21">INDEX(增益!$A$2:$Q$40,QB21,MATCH(QW$8,增益!$B$1:$Q$1,0)+1)*$AI21</f>
        <v>0</v>
      </c>
      <c r="QY21" s="2" cm="1">
        <f t="array" ref="QY21">INDEX(增益!$A$2:$Q$40,QB21,MATCH(QY$8,增益!$B$1:$Q$1,0)+1)*$AI21</f>
        <v>0</v>
      </c>
      <c r="QZ21" s="2" cm="1">
        <f t="array" ref="QZ21">INDEX(增益!$A$2:$Q$40,QB21,MATCH(QZ$8,增益!$B$1:$Q$1,0)+1)*$AI21</f>
        <v>0</v>
      </c>
      <c r="RD21" s="2" cm="1">
        <f t="array" ref="RD21">INDEX(云配队!$J26:$AC26,1,RD$1)</f>
        <v>0</v>
      </c>
      <c r="RE21" s="2">
        <f>IFERROR(MATCH(RD21,增益!$A$2:$A$40,FALSE),1)</f>
        <v>1</v>
      </c>
      <c r="RF21" s="2" cm="1">
        <f t="array" ref="RF21">INDEX(增益!$A$2:$Q$40,RE21,MATCH(RF$8,增益!$B$1:$Q$1,0)+1)*$AI21</f>
        <v>0</v>
      </c>
      <c r="RG21" s="2" cm="1">
        <f t="array" ref="RG21">INDEX(增益!$A$2:$Q$40,RE21,MATCH(RG$8,增益!$B$1:$Q$1,0)+1)*$AI21</f>
        <v>0</v>
      </c>
      <c r="RH21" s="2" cm="1">
        <f t="array" ref="RH21">INDEX(增益!$A$2:$Q$40,RE21,MATCH(RH$8,增益!$B$1:$Q$1,0)+1)*$AI21</f>
        <v>0</v>
      </c>
      <c r="RI21" s="2" cm="1">
        <f t="array" ref="RI21">INDEX(增益!$A$2:$Q$40,RE21,MATCH(RI$8,增益!$B$1:$Q$1,0)+1)*$AI21</f>
        <v>0</v>
      </c>
      <c r="RJ21" s="2" cm="1">
        <f t="array" ref="RJ21">INDEX(增益!$A$2:$Q$40,RE21,MATCH(RJ$8,增益!$B$1:$Q$1,0)+1)*$AI21</f>
        <v>0</v>
      </c>
      <c r="RK21" s="2" cm="1">
        <f t="array" ref="RK21">INDEX(增益!$A$2:$Q$40,RE21,MATCH(RK$8,增益!$B$1:$Q$1,0)+1)*$AI21</f>
        <v>0</v>
      </c>
      <c r="RL21" s="2" cm="1">
        <f t="array" ref="RL21">INDEX(增益!$A$2:$Q$40,RE21,MATCH(RL$8,增益!$B$1:$Q$1,0)+1)*$AI21</f>
        <v>0</v>
      </c>
      <c r="RM21" s="2" cm="1">
        <f t="array" ref="RM21">INDEX(增益!$A$2:$Q$40,RE21,MATCH(RM$8,增益!$B$1:$Q$1,0)+1)*$AI21</f>
        <v>0</v>
      </c>
      <c r="RN21" s="2" cm="1">
        <f t="array" ref="RN21">INDEX(增益!$A$2:$Q$40,RE21,MATCH(RN$8,增益!$B$1:$Q$1,0)+1)*$AI21</f>
        <v>0</v>
      </c>
      <c r="RO21" s="2" cm="1">
        <f t="array" ref="RO21">INDEX(增益!$A$2:$Q$40,RE21,MATCH(RO$8,增益!$B$1:$Q$1,0)+1)*$AI21</f>
        <v>0</v>
      </c>
      <c r="RV21" s="2" cm="1">
        <f t="array" ref="RV21">INDEX(增益!$A$2:$Q$40,RE21,MATCH(RV$8,增益!$B$1:$Q$1,0)+1)*$AI21</f>
        <v>0</v>
      </c>
      <c r="RW21" s="2" cm="1">
        <f t="array" ref="RW21">INDEX(增益!$A$2:$Q$40,RE21,MATCH(RW$8,增益!$B$1:$Q$1,0)+1)*$AI21</f>
        <v>0</v>
      </c>
      <c r="RX21" s="2" cm="1">
        <f t="array" ref="RX21">INDEX(增益!$A$2:$Q$40,RE21,MATCH(RX$8,增益!$B$1:$Q$1,0)+1)*$AI21</f>
        <v>0</v>
      </c>
      <c r="RZ21" s="2" cm="1">
        <f t="array" ref="RZ21">INDEX(增益!$A$2:$Q$40,RE21,MATCH(RZ$8,增益!$B$1:$Q$1,0)+1)*$AI21</f>
        <v>0</v>
      </c>
      <c r="SB21" s="2" cm="1">
        <f t="array" ref="SB21">INDEX(增益!$A$2:$Q$40,RE21,MATCH(SB$8,增益!$B$1:$Q$1,0)+1)*$AI21</f>
        <v>0</v>
      </c>
      <c r="SC21" s="2" cm="1">
        <f t="array" ref="SC21">INDEX(增益!$A$2:$Q$40,RE21,MATCH(SC$8,增益!$B$1:$Q$1,0)+1)*$AI21</f>
        <v>0</v>
      </c>
      <c r="SG21" s="2" cm="1">
        <f t="array" ref="SG21">INDEX(云配队!$J26:$AC26,1,SG$1)</f>
        <v>0</v>
      </c>
      <c r="SH21" s="2">
        <f>IFERROR(MATCH(SG21,增益!$A$2:$A$40,FALSE),1)</f>
        <v>1</v>
      </c>
      <c r="SI21" s="2" cm="1">
        <f t="array" ref="SI21">INDEX(增益!$A$2:$Q$40,SH21,MATCH(SI$8,增益!$B$1:$Q$1,0)+1)*$AI21</f>
        <v>0</v>
      </c>
      <c r="SJ21" s="2" cm="1">
        <f t="array" ref="SJ21">INDEX(增益!$A$2:$Q$40,SH21,MATCH(SJ$8,增益!$B$1:$Q$1,0)+1)*$AI21</f>
        <v>0</v>
      </c>
      <c r="SK21" s="2" cm="1">
        <f t="array" ref="SK21">INDEX(增益!$A$2:$Q$40,SH21,MATCH(SK$8,增益!$B$1:$Q$1,0)+1)*$AI21</f>
        <v>0</v>
      </c>
      <c r="SL21" s="2" cm="1">
        <f t="array" ref="SL21">INDEX(增益!$A$2:$Q$40,SH21,MATCH(SL$8,增益!$B$1:$Q$1,0)+1)*$AI21</f>
        <v>0</v>
      </c>
      <c r="SM21" s="2" cm="1">
        <f t="array" ref="SM21">INDEX(增益!$A$2:$Q$40,SH21,MATCH(SM$8,增益!$B$1:$Q$1,0)+1)*$AI21</f>
        <v>0</v>
      </c>
      <c r="SN21" s="2" cm="1">
        <f t="array" ref="SN21">INDEX(增益!$A$2:$Q$40,SH21,MATCH(SN$8,增益!$B$1:$Q$1,0)+1)*$AI21</f>
        <v>0</v>
      </c>
      <c r="SO21" s="2" cm="1">
        <f t="array" ref="SO21">INDEX(增益!$A$2:$Q$40,SH21,MATCH(SO$8,增益!$B$1:$Q$1,0)+1)*$AI21</f>
        <v>0</v>
      </c>
      <c r="SP21" s="2" cm="1">
        <f t="array" ref="SP21">INDEX(增益!$A$2:$Q$40,SH21,MATCH(SP$8,增益!$B$1:$Q$1,0)+1)*$AI21</f>
        <v>0</v>
      </c>
      <c r="SQ21" s="2" cm="1">
        <f t="array" ref="SQ21">INDEX(增益!$A$2:$Q$40,SH21,MATCH(SQ$8,增益!$B$1:$Q$1,0)+1)*$AI21</f>
        <v>0</v>
      </c>
      <c r="SR21" s="2" cm="1">
        <f t="array" ref="SR21">INDEX(增益!$A$2:$Q$40,SH21,MATCH(SR$8,增益!$B$1:$Q$1,0)+1)*$AI21</f>
        <v>0</v>
      </c>
      <c r="SY21" s="2" cm="1">
        <f t="array" ref="SY21">INDEX(增益!$A$2:$Q$40,SH21,MATCH(SY$8,增益!$B$1:$Q$1,0)+1)*$AI21</f>
        <v>0</v>
      </c>
      <c r="SZ21" s="2" cm="1">
        <f t="array" ref="SZ21">INDEX(增益!$A$2:$Q$40,SH21,MATCH(SZ$8,增益!$B$1:$Q$1,0)+1)*$AI21</f>
        <v>0</v>
      </c>
      <c r="TA21" s="2" cm="1">
        <f t="array" ref="TA21">INDEX(增益!$A$2:$Q$40,SH21,MATCH(TA$8,增益!$B$1:$Q$1,0)+1)*$AI21</f>
        <v>0</v>
      </c>
      <c r="TC21" s="2" cm="1">
        <f t="array" ref="TC21">INDEX(增益!$A$2:$Q$40,SH21,MATCH(TC$8,增益!$B$1:$Q$1,0)+1)*$AI21</f>
        <v>0</v>
      </c>
      <c r="TE21" s="2" cm="1">
        <f t="array" ref="TE21">INDEX(增益!$A$2:$Q$40,SH21,MATCH(TE$8,增益!$B$1:$Q$1,0)+1)*$AI21</f>
        <v>0</v>
      </c>
      <c r="TF21" s="2" cm="1">
        <f t="array" ref="TF21">INDEX(增益!$A$2:$Q$40,SH21,MATCH(TF$8,增益!$B$1:$Q$1,0)+1)*$AI21</f>
        <v>0</v>
      </c>
      <c r="TJ21" s="2" cm="1">
        <f t="array" ref="TJ21">INDEX(云配队!$J26:$AC26,1,TJ$1)</f>
        <v>0</v>
      </c>
      <c r="TK21" s="2">
        <f>IFERROR(MATCH(TJ21,增益!$A$2:$A$40,FALSE),1)</f>
        <v>1</v>
      </c>
      <c r="TL21" s="2" cm="1">
        <f t="array" ref="TL21">INDEX(增益!$A$2:$Q$40,TK21,MATCH(TL$8,增益!$B$1:$Q$1,0)+1)*$AI21</f>
        <v>0</v>
      </c>
      <c r="TM21" s="2" cm="1">
        <f t="array" ref="TM21">INDEX(增益!$A$2:$Q$40,TK21,MATCH(TM$8,增益!$B$1:$Q$1,0)+1)*$AI21</f>
        <v>0</v>
      </c>
      <c r="TN21" s="2" cm="1">
        <f t="array" ref="TN21">INDEX(增益!$A$2:$Q$40,TK21,MATCH(TN$8,增益!$B$1:$Q$1,0)+1)*$AI21</f>
        <v>0</v>
      </c>
      <c r="TO21" s="2" cm="1">
        <f t="array" ref="TO21">INDEX(增益!$A$2:$Q$40,TK21,MATCH(TO$8,增益!$B$1:$Q$1,0)+1)*$AI21</f>
        <v>0</v>
      </c>
      <c r="TP21" s="2" cm="1">
        <f t="array" ref="TP21">INDEX(增益!$A$2:$Q$40,TK21,MATCH(TP$8,增益!$B$1:$Q$1,0)+1)*$AI21</f>
        <v>0</v>
      </c>
      <c r="TQ21" s="2" cm="1">
        <f t="array" ref="TQ21">INDEX(增益!$A$2:$Q$40,TK21,MATCH(TQ$8,增益!$B$1:$Q$1,0)+1)*$AI21</f>
        <v>0</v>
      </c>
      <c r="TR21" s="2" cm="1">
        <f t="array" ref="TR21">INDEX(增益!$A$2:$Q$40,TK21,MATCH(TR$8,增益!$B$1:$Q$1,0)+1)*$AI21</f>
        <v>0</v>
      </c>
      <c r="TS21" s="2" cm="1">
        <f t="array" ref="TS21">INDEX(增益!$A$2:$Q$40,TK21,MATCH(TS$8,增益!$B$1:$Q$1,0)+1)*$AI21</f>
        <v>0</v>
      </c>
      <c r="TT21" s="2" cm="1">
        <f t="array" ref="TT21">INDEX(增益!$A$2:$Q$40,TK21,MATCH(TT$8,增益!$B$1:$Q$1,0)+1)*$AI21</f>
        <v>0</v>
      </c>
      <c r="TU21" s="2" cm="1">
        <f t="array" ref="TU21">INDEX(增益!$A$2:$Q$40,TK21,MATCH(TU$8,增益!$B$1:$Q$1,0)+1)*$AI21</f>
        <v>0</v>
      </c>
      <c r="UB21" s="2" cm="1">
        <f t="array" ref="UB21">INDEX(增益!$A$2:$Q$40,TK21,MATCH(UB$8,增益!$B$1:$Q$1,0)+1)*$AI21</f>
        <v>0</v>
      </c>
      <c r="UC21" s="2" cm="1">
        <f t="array" ref="UC21">INDEX(增益!$A$2:$Q$40,TK21,MATCH(UC$8,增益!$B$1:$Q$1,0)+1)*$AI21</f>
        <v>0</v>
      </c>
      <c r="UD21" s="2" cm="1">
        <f t="array" ref="UD21">INDEX(增益!$A$2:$Q$40,TK21,MATCH(UD$8,增益!$B$1:$Q$1,0)+1)*$AI21</f>
        <v>0</v>
      </c>
      <c r="UF21" s="2" cm="1">
        <f t="array" ref="UF21">INDEX(增益!$A$2:$Q$40,TK21,MATCH(UF$8,增益!$B$1:$Q$1,0)+1)*$AI21</f>
        <v>0</v>
      </c>
      <c r="UH21" s="2" cm="1">
        <f t="array" ref="UH21">INDEX(增益!$A$2:$Q$40,TK21,MATCH(UH$8,增益!$B$1:$Q$1,0)+1)*$AI21</f>
        <v>0</v>
      </c>
      <c r="UI21" s="2" cm="1">
        <f t="array" ref="UI21">INDEX(增益!$A$2:$Q$40,TK21,MATCH(UI$8,增益!$B$1:$Q$1,0)+1)*$AI21</f>
        <v>0</v>
      </c>
      <c r="UM21" s="2" cm="1">
        <f t="array" ref="UM21">INDEX(云配队!$J26:$AC26,1,UM$1)</f>
        <v>0</v>
      </c>
      <c r="UN21" s="2">
        <f>IFERROR(MATCH(UM21,增益!$A$2:$A$40,FALSE),1)</f>
        <v>1</v>
      </c>
      <c r="UO21" s="2" cm="1">
        <f t="array" ref="UO21">INDEX(增益!$A$2:$Q$40,UN21,MATCH(UO$8,增益!$B$1:$Q$1,0)+1)*$AI21</f>
        <v>0</v>
      </c>
      <c r="UP21" s="2" cm="1">
        <f t="array" ref="UP21">INDEX(增益!$A$2:$Q$40,UN21,MATCH(UP$8,增益!$B$1:$Q$1,0)+1)*$AI21</f>
        <v>0</v>
      </c>
      <c r="UQ21" s="2" cm="1">
        <f t="array" ref="UQ21">INDEX(增益!$A$2:$Q$40,UN21,MATCH(UQ$8,增益!$B$1:$Q$1,0)+1)*$AI21</f>
        <v>0</v>
      </c>
      <c r="UR21" s="2" cm="1">
        <f t="array" ref="UR21">INDEX(增益!$A$2:$Q$40,UN21,MATCH(UR$8,增益!$B$1:$Q$1,0)+1)*$AI21</f>
        <v>0</v>
      </c>
      <c r="US21" s="2" cm="1">
        <f t="array" ref="US21">INDEX(增益!$A$2:$Q$40,UN21,MATCH(US$8,增益!$B$1:$Q$1,0)+1)*$AI21</f>
        <v>0</v>
      </c>
      <c r="UT21" s="2" cm="1">
        <f t="array" ref="UT21">INDEX(增益!$A$2:$Q$40,UN21,MATCH(UT$8,增益!$B$1:$Q$1,0)+1)*$AI21</f>
        <v>0</v>
      </c>
      <c r="UU21" s="2" cm="1">
        <f t="array" ref="UU21">INDEX(增益!$A$2:$Q$40,UN21,MATCH(UU$8,增益!$B$1:$Q$1,0)+1)*$AI21</f>
        <v>0</v>
      </c>
      <c r="UV21" s="2" cm="1">
        <f t="array" ref="UV21">INDEX(增益!$A$2:$Q$40,UN21,MATCH(UV$8,增益!$B$1:$Q$1,0)+1)*$AI21</f>
        <v>0</v>
      </c>
      <c r="UW21" s="2" cm="1">
        <f t="array" ref="UW21">INDEX(增益!$A$2:$Q$40,UN21,MATCH(UW$8,增益!$B$1:$Q$1,0)+1)*$AI21</f>
        <v>0</v>
      </c>
      <c r="UX21" s="2" cm="1">
        <f t="array" ref="UX21">INDEX(增益!$A$2:$Q$40,UN21,MATCH(UX$8,增益!$B$1:$Q$1,0)+1)*$AI21</f>
        <v>0</v>
      </c>
      <c r="VE21" s="2" cm="1">
        <f t="array" ref="VE21">INDEX(增益!$A$2:$Q$40,UN21,MATCH(VE$8,增益!$B$1:$Q$1,0)+1)*$AI21</f>
        <v>0</v>
      </c>
      <c r="VF21" s="2" cm="1">
        <f t="array" ref="VF21">INDEX(增益!$A$2:$Q$40,UN21,MATCH(VF$8,增益!$B$1:$Q$1,0)+1)*$AI21</f>
        <v>0</v>
      </c>
      <c r="VG21" s="2" cm="1">
        <f t="array" ref="VG21">INDEX(增益!$A$2:$Q$40,UN21,MATCH(VG$8,增益!$B$1:$Q$1,0)+1)*$AI21</f>
        <v>0</v>
      </c>
      <c r="VI21" s="2" cm="1">
        <f t="array" ref="VI21">INDEX(增益!$A$2:$Q$40,UN21,MATCH(VI$8,增益!$B$1:$Q$1,0)+1)*$AI21</f>
        <v>0</v>
      </c>
      <c r="VK21" s="2" cm="1">
        <f t="array" ref="VK21">INDEX(增益!$A$2:$Q$40,UN21,MATCH(VK$8,增益!$B$1:$Q$1,0)+1)*$AI21</f>
        <v>0</v>
      </c>
      <c r="VL21" s="2" cm="1">
        <f t="array" ref="VL21">INDEX(增益!$A$2:$Q$40,UN21,MATCH(VL$8,增益!$B$1:$Q$1,0)+1)*$AI21</f>
        <v>0</v>
      </c>
      <c r="VP21" s="2" cm="1">
        <f t="array" ref="VP21">INDEX(云配队!$J26:$AC26,1,VP$1)</f>
        <v>0</v>
      </c>
      <c r="VQ21" s="2">
        <f>IFERROR(MATCH(VP21,增益!$A$2:$A$40,FALSE),1)</f>
        <v>1</v>
      </c>
      <c r="VR21" s="2" cm="1">
        <f t="array" ref="VR21">INDEX(增益!$A$2:$Q$40,VQ21,MATCH(VR$8,增益!$B$1:$Q$1,0)+1)*$AI21</f>
        <v>0</v>
      </c>
      <c r="VS21" s="2" cm="1">
        <f t="array" ref="VS21">INDEX(增益!$A$2:$Q$40,VQ21,MATCH(VS$8,增益!$B$1:$Q$1,0)+1)*$AI21</f>
        <v>0</v>
      </c>
      <c r="VT21" s="2" cm="1">
        <f t="array" ref="VT21">INDEX(增益!$A$2:$Q$40,VQ21,MATCH(VT$8,增益!$B$1:$Q$1,0)+1)*$AI21</f>
        <v>0</v>
      </c>
      <c r="VU21" s="2" cm="1">
        <f t="array" ref="VU21">INDEX(增益!$A$2:$Q$40,VQ21,MATCH(VU$8,增益!$B$1:$Q$1,0)+1)*$AI21</f>
        <v>0</v>
      </c>
      <c r="VV21" s="2" cm="1">
        <f t="array" ref="VV21">INDEX(增益!$A$2:$Q$40,VQ21,MATCH(VV$8,增益!$B$1:$Q$1,0)+1)*$AI21</f>
        <v>0</v>
      </c>
      <c r="VW21" s="2" cm="1">
        <f t="array" ref="VW21">INDEX(增益!$A$2:$Q$40,VQ21,MATCH(VW$8,增益!$B$1:$Q$1,0)+1)*$AI21</f>
        <v>0</v>
      </c>
      <c r="VX21" s="2" cm="1">
        <f t="array" ref="VX21">INDEX(增益!$A$2:$Q$40,VQ21,MATCH(VX$8,增益!$B$1:$Q$1,0)+1)*$AI21</f>
        <v>0</v>
      </c>
      <c r="VY21" s="2" cm="1">
        <f t="array" ref="VY21">INDEX(增益!$A$2:$Q$40,VQ21,MATCH(VY$8,增益!$B$1:$Q$1,0)+1)*$AI21</f>
        <v>0</v>
      </c>
      <c r="VZ21" s="2" cm="1">
        <f t="array" ref="VZ21">INDEX(增益!$A$2:$Q$40,VQ21,MATCH(VZ$8,增益!$B$1:$Q$1,0)+1)*$AI21</f>
        <v>0</v>
      </c>
      <c r="WA21" s="2" cm="1">
        <f t="array" ref="WA21">INDEX(增益!$A$2:$Q$40,VQ21,MATCH(WA$8,增益!$B$1:$Q$1,0)+1)*$AI21</f>
        <v>0</v>
      </c>
      <c r="WH21" s="2" cm="1">
        <f t="array" ref="WH21">INDEX(增益!$A$2:$Q$40,VQ21,MATCH(WH$8,增益!$B$1:$Q$1,0)+1)*$AI21</f>
        <v>0</v>
      </c>
      <c r="WI21" s="2" cm="1">
        <f t="array" ref="WI21">INDEX(增益!$A$2:$Q$40,VQ21,MATCH(WI$8,增益!$B$1:$Q$1,0)+1)*$AI21</f>
        <v>0</v>
      </c>
      <c r="WJ21" s="2" cm="1">
        <f t="array" ref="WJ21">INDEX(增益!$A$2:$Q$40,VQ21,MATCH(WJ$8,增益!$B$1:$Q$1,0)+1)*$AI21</f>
        <v>0</v>
      </c>
      <c r="WL21" s="2" cm="1">
        <f t="array" ref="WL21">INDEX(增益!$A$2:$Q$40,VQ21,MATCH(WL$8,增益!$B$1:$Q$1,0)+1)*$AI21</f>
        <v>0</v>
      </c>
      <c r="WN21" s="2" cm="1">
        <f t="array" ref="WN21">INDEX(增益!$A$2:$Q$40,VQ21,MATCH(WN$8,增益!$B$1:$Q$1,0)+1)*$AI21</f>
        <v>0</v>
      </c>
      <c r="WO21" s="2" cm="1">
        <f t="array" ref="WO21">INDEX(增益!$A$2:$Q$40,VQ21,MATCH(WO$8,增益!$B$1:$Q$1,0)+1)*$AI21</f>
        <v>0</v>
      </c>
    </row>
    <row r="22" spans="35:616">
      <c r="AI22" s="2">
        <f>IF(云配队!H27&gt;0,云配队!H27,1)</f>
        <v>0.75</v>
      </c>
      <c r="AK22" s="2" cm="1">
        <f t="array" ref="AK22">INDEX(云配队!$J27:$AC27,1,AK$1)</f>
        <v>0</v>
      </c>
      <c r="AL22" s="2">
        <f>IFERROR(MATCH(AK22,增益!$A$2:$A$40,FALSE),1)</f>
        <v>1</v>
      </c>
      <c r="AM22" s="2" cm="1">
        <f t="array" ref="AM22">INDEX(增益!$A$2:$Q$40,AL22,MATCH(AM$8,增益!$B$1:$Q$1,0)+1)*$AI22</f>
        <v>0</v>
      </c>
      <c r="AN22" s="2" cm="1">
        <f t="array" ref="AN22">INDEX(增益!$A$2:$Q$40,AL22,MATCH(AN$8,增益!$B$1:$Q$1,0)+1)*$AI22</f>
        <v>0</v>
      </c>
      <c r="AO22" s="2" cm="1">
        <f t="array" ref="AO22">INDEX(增益!$A$2:$Q$40,AL22,MATCH(AO$8,增益!$B$1:$Q$1,0)+1)*$AI22</f>
        <v>0</v>
      </c>
      <c r="AP22" s="2" cm="1">
        <f t="array" ref="AP22">INDEX(增益!$A$2:$Q$40,AL22,MATCH(AP$8,增益!$B$1:$Q$1,0)+1)*$AI22</f>
        <v>0</v>
      </c>
      <c r="AQ22" s="2" cm="1">
        <f t="array" ref="AQ22">INDEX(增益!$A$2:$Q$40,AL22,MATCH(AQ$8,增益!$B$1:$Q$1,0)+1)*$AI22</f>
        <v>0</v>
      </c>
      <c r="AR22" s="2" cm="1">
        <f t="array" ref="AR22">INDEX(增益!$A$2:$Q$40,AL22,MATCH(AR$8,增益!$B$1:$Q$1,0)+1)*$AI22</f>
        <v>0</v>
      </c>
      <c r="AS22" s="2" cm="1">
        <f t="array" ref="AS22">INDEX(增益!$A$2:$Q$40,AL22,MATCH(AS$8,增益!$B$1:$Q$1,0)+1)*$AI22</f>
        <v>0</v>
      </c>
      <c r="AT22" s="2" cm="1">
        <f t="array" ref="AT22">INDEX(增益!$A$2:$Q$40,AL22,MATCH(AT$8,增益!$B$1:$Q$1,0)+1)*$AI22</f>
        <v>0</v>
      </c>
      <c r="AU22" s="2" cm="1">
        <f t="array" ref="AU22">INDEX(增益!$A$2:$Q$40,AL22,MATCH(AU$8,增益!$B$1:$Q$1,0)+1)*$AI22</f>
        <v>0</v>
      </c>
      <c r="AV22" s="2" cm="1">
        <f t="array" ref="AV22">INDEX(增益!$A$2:$Q$40,AL22,MATCH(AV$8,增益!$B$1:$Q$1,0)+1)*$AI22</f>
        <v>0</v>
      </c>
      <c r="BC22" s="2" cm="1">
        <f t="array" ref="BC22">INDEX(增益!$A$2:$Q$40,AL22,MATCH(BC$8,增益!$B$1:$Q$1,0)+1)*$AI22</f>
        <v>0</v>
      </c>
      <c r="BD22" s="2" cm="1">
        <f t="array" ref="BD22">INDEX(增益!$A$2:$Q$40,AL22,MATCH(BD$8,增益!$B$1:$Q$1,0)+1)*$AI22</f>
        <v>0</v>
      </c>
      <c r="BE22" s="2" cm="1">
        <f t="array" ref="BE22">INDEX(增益!$A$2:$Q$40,AL22,MATCH(BE$8,增益!$B$1:$Q$1,0)+1)*$AI22</f>
        <v>0</v>
      </c>
      <c r="BG22" s="2" cm="1">
        <f t="array" ref="BG22">INDEX(增益!$A$2:$Q$40,AL22,MATCH(BG$8,增益!$B$1:$Q$1,0)+1)*$AI22</f>
        <v>0</v>
      </c>
      <c r="BI22" s="2" cm="1">
        <f t="array" ref="BI22">INDEX(增益!$A$2:$Q$40,AL22,MATCH(BI$8,增益!$B$1:$Q$1,0)+1)*$AI22</f>
        <v>0</v>
      </c>
      <c r="BJ22" s="2" cm="1">
        <f t="array" ref="BJ22">INDEX(增益!$A$2:$Q$40,AL22,MATCH(BJ$8,增益!$B$1:$Q$1,0)+1)*$AI22</f>
        <v>0</v>
      </c>
      <c r="BN22" s="2" cm="1">
        <f t="array" ref="BN22">INDEX(云配队!$J27:$AC27,1,BN$1)</f>
        <v>0</v>
      </c>
      <c r="BO22" s="2">
        <f>IFERROR(MATCH(BN22,增益!$A$2:$A$40,FALSE),1)</f>
        <v>1</v>
      </c>
      <c r="BP22" s="2" cm="1">
        <f t="array" ref="BP22">INDEX(增益!$A$2:$Q$40,BO22,MATCH(BP$8,增益!$B$1:$Q$1,0)+1)*$AI22</f>
        <v>0</v>
      </c>
      <c r="BQ22" s="2" cm="1">
        <f t="array" ref="BQ22">INDEX(增益!$A$2:$Q$40,BO22,MATCH(BQ$8,增益!$B$1:$Q$1,0)+1)*$AI22</f>
        <v>0</v>
      </c>
      <c r="BR22" s="2" cm="1">
        <f t="array" ref="BR22">INDEX(增益!$A$2:$Q$40,BO22,MATCH(BR$8,增益!$B$1:$Q$1,0)+1)*$AI22</f>
        <v>0</v>
      </c>
      <c r="BS22" s="2" cm="1">
        <f t="array" ref="BS22">INDEX(增益!$A$2:$Q$40,BO22,MATCH(BS$8,增益!$B$1:$Q$1,0)+1)*$AI22</f>
        <v>0</v>
      </c>
      <c r="BT22" s="2" cm="1">
        <f t="array" ref="BT22">INDEX(增益!$A$2:$Q$40,BO22,MATCH(BT$8,增益!$B$1:$Q$1,0)+1)*$AI22</f>
        <v>0</v>
      </c>
      <c r="BU22" s="2" cm="1">
        <f t="array" ref="BU22">INDEX(增益!$A$2:$Q$40,BO22,MATCH(BU$8,增益!$B$1:$Q$1,0)+1)*$AI22</f>
        <v>0</v>
      </c>
      <c r="BV22" s="2" cm="1">
        <f t="array" ref="BV22">INDEX(增益!$A$2:$Q$40,BO22,MATCH(BV$8,增益!$B$1:$Q$1,0)+1)*$AI22</f>
        <v>0</v>
      </c>
      <c r="BW22" s="2" cm="1">
        <f t="array" ref="BW22">INDEX(增益!$A$2:$Q$40,BO22,MATCH(BW$8,增益!$B$1:$Q$1,0)+1)*$AI22</f>
        <v>0</v>
      </c>
      <c r="BX22" s="2" cm="1">
        <f t="array" ref="BX22">INDEX(增益!$A$2:$Q$40,BO22,MATCH(BX$8,增益!$B$1:$Q$1,0)+1)*$AI22</f>
        <v>0</v>
      </c>
      <c r="BY22" s="2" cm="1">
        <f t="array" ref="BY22">INDEX(增益!$A$2:$Q$40,BO22,MATCH(BY$8,增益!$B$1:$Q$1,0)+1)*$AI22</f>
        <v>0</v>
      </c>
      <c r="CF22" s="2" cm="1">
        <f t="array" ref="CF22">INDEX(增益!$A$2:$Q$40,BO22,MATCH(CF$8,增益!$B$1:$Q$1,0)+1)*$AI22</f>
        <v>0</v>
      </c>
      <c r="CG22" s="2" cm="1">
        <f t="array" ref="CG22">INDEX(增益!$A$2:$Q$40,BO22,MATCH(CG$8,增益!$B$1:$Q$1,0)+1)*$AI22</f>
        <v>0</v>
      </c>
      <c r="CH22" s="2" cm="1">
        <f t="array" ref="CH22">INDEX(增益!$A$2:$Q$40,BO22,MATCH(CH$8,增益!$B$1:$Q$1,0)+1)*$AI22</f>
        <v>0</v>
      </c>
      <c r="CJ22" s="2" cm="1">
        <f t="array" ref="CJ22">INDEX(增益!$A$2:$Q$40,BO22,MATCH(CJ$8,增益!$B$1:$Q$1,0)+1)*$AI22</f>
        <v>0</v>
      </c>
      <c r="CL22" s="2" cm="1">
        <f t="array" ref="CL22">INDEX(增益!$A$2:$Q$40,BO22,MATCH(CL$8,增益!$B$1:$Q$1,0)+1)*$AI22</f>
        <v>0</v>
      </c>
      <c r="CM22" s="2" cm="1">
        <f t="array" ref="CM22">INDEX(增益!$A$2:$Q$40,BO22,MATCH(CM$8,增益!$B$1:$Q$1,0)+1)*$AI22</f>
        <v>0</v>
      </c>
      <c r="CQ22" s="2" cm="1">
        <f t="array" ref="CQ22">INDEX(云配队!$J27:$AC27,1,CQ$1)</f>
        <v>0</v>
      </c>
      <c r="CR22" s="2">
        <f>IFERROR(MATCH(CQ22,增益!$A$2:$A$40,FALSE),1)</f>
        <v>1</v>
      </c>
      <c r="CS22" s="2" cm="1">
        <f t="array" ref="CS22">INDEX(增益!$A$2:$Q$40,CR22,MATCH(CS$8,增益!$B$1:$Q$1,0)+1)*$AI22</f>
        <v>0</v>
      </c>
      <c r="CT22" s="2" cm="1">
        <f t="array" ref="CT22">INDEX(增益!$A$2:$Q$40,CR22,MATCH(CT$8,增益!$B$1:$Q$1,0)+1)*$AI22</f>
        <v>0</v>
      </c>
      <c r="CU22" s="2" cm="1">
        <f t="array" ref="CU22">INDEX(增益!$A$2:$Q$40,CR22,MATCH(CU$8,增益!$B$1:$Q$1,0)+1)*$AI22</f>
        <v>0</v>
      </c>
      <c r="CV22" s="2" cm="1">
        <f t="array" ref="CV22">INDEX(增益!$A$2:$Q$40,CR22,MATCH(CV$8,增益!$B$1:$Q$1,0)+1)*$AI22</f>
        <v>0</v>
      </c>
      <c r="CW22" s="2" cm="1">
        <f t="array" ref="CW22">INDEX(增益!$A$2:$Q$40,CR22,MATCH(CW$8,增益!$B$1:$Q$1,0)+1)*$AI22</f>
        <v>0</v>
      </c>
      <c r="CX22" s="2" cm="1">
        <f t="array" ref="CX22">INDEX(增益!$A$2:$Q$40,CR22,MATCH(CX$8,增益!$B$1:$Q$1,0)+1)*$AI22</f>
        <v>0</v>
      </c>
      <c r="CY22" s="2" cm="1">
        <f t="array" ref="CY22">INDEX(增益!$A$2:$Q$40,CR22,MATCH(CY$8,增益!$B$1:$Q$1,0)+1)*$AI22</f>
        <v>0</v>
      </c>
      <c r="CZ22" s="2" cm="1">
        <f t="array" ref="CZ22">INDEX(增益!$A$2:$Q$40,CR22,MATCH(CZ$8,增益!$B$1:$Q$1,0)+1)*$AI22</f>
        <v>0</v>
      </c>
      <c r="DA22" s="2" cm="1">
        <f t="array" ref="DA22">INDEX(增益!$A$2:$Q$40,CR22,MATCH(DA$8,增益!$B$1:$Q$1,0)+1)*$AI22</f>
        <v>0</v>
      </c>
      <c r="DB22" s="2" cm="1">
        <f t="array" ref="DB22">INDEX(增益!$A$2:$Q$40,CR22,MATCH(DB$8,增益!$B$1:$Q$1,0)+1)*$AI22</f>
        <v>0</v>
      </c>
      <c r="DI22" s="2" cm="1">
        <f t="array" ref="DI22">INDEX(增益!$A$2:$Q$40,CR22,MATCH(DI$8,增益!$B$1:$Q$1,0)+1)*$AI22</f>
        <v>0</v>
      </c>
      <c r="DJ22" s="2" cm="1">
        <f t="array" ref="DJ22">INDEX(增益!$A$2:$Q$40,CR22,MATCH(DJ$8,增益!$B$1:$Q$1,0)+1)*$AI22</f>
        <v>0</v>
      </c>
      <c r="DK22" s="2" cm="1">
        <f t="array" ref="DK22">INDEX(增益!$A$2:$Q$40,CR22,MATCH(DK$8,增益!$B$1:$Q$1,0)+1)*$AI22</f>
        <v>0</v>
      </c>
      <c r="DM22" s="2" cm="1">
        <f t="array" ref="DM22">INDEX(增益!$A$2:$Q$40,CR22,MATCH(DM$8,增益!$B$1:$Q$1,0)+1)*$AI22</f>
        <v>0</v>
      </c>
      <c r="DO22" s="2" cm="1">
        <f t="array" ref="DO22">INDEX(增益!$A$2:$Q$40,CR22,MATCH(DO$8,增益!$B$1:$Q$1,0)+1)*$AI22</f>
        <v>0</v>
      </c>
      <c r="DP22" s="2" cm="1">
        <f t="array" ref="DP22">INDEX(增益!$A$2:$Q$40,CR22,MATCH(DP$8,增益!$B$1:$Q$1,0)+1)*$AI22</f>
        <v>0</v>
      </c>
      <c r="DT22" s="2" cm="1">
        <f t="array" ref="DT22">INDEX(云配队!$J27:$AC27,1,DT$1)</f>
        <v>0</v>
      </c>
      <c r="DU22" s="2">
        <f>IFERROR(MATCH(DT22,增益!$A$2:$A$40,FALSE),1)</f>
        <v>1</v>
      </c>
      <c r="DV22" s="2" cm="1">
        <f t="array" ref="DV22">INDEX(增益!$A$2:$Q$40,DU22,MATCH(DV$8,增益!$B$1:$Q$1,0)+1)*$AI22</f>
        <v>0</v>
      </c>
      <c r="DW22" s="2" cm="1">
        <f t="array" ref="DW22">INDEX(增益!$A$2:$Q$40,DU22,MATCH(DW$8,增益!$B$1:$Q$1,0)+1)*$AI22</f>
        <v>0</v>
      </c>
      <c r="DX22" s="2" cm="1">
        <f t="array" ref="DX22">INDEX(增益!$A$2:$Q$40,DU22,MATCH(DX$8,增益!$B$1:$Q$1,0)+1)*$AI22</f>
        <v>0</v>
      </c>
      <c r="DY22" s="2" cm="1">
        <f t="array" ref="DY22">INDEX(增益!$A$2:$Q$40,DU22,MATCH(DY$8,增益!$B$1:$Q$1,0)+1)*$AI22</f>
        <v>0</v>
      </c>
      <c r="DZ22" s="2" cm="1">
        <f t="array" ref="DZ22">INDEX(增益!$A$2:$Q$40,DU22,MATCH(DZ$8,增益!$B$1:$Q$1,0)+1)*$AI22</f>
        <v>0</v>
      </c>
      <c r="EA22" s="2" cm="1">
        <f t="array" ref="EA22">INDEX(增益!$A$2:$Q$40,DU22,MATCH(EA$8,增益!$B$1:$Q$1,0)+1)*$AI22</f>
        <v>0</v>
      </c>
      <c r="EB22" s="2" cm="1">
        <f t="array" ref="EB22">INDEX(增益!$A$2:$Q$40,DU22,MATCH(EB$8,增益!$B$1:$Q$1,0)+1)*$AI22</f>
        <v>0</v>
      </c>
      <c r="EC22" s="2" cm="1">
        <f t="array" ref="EC22">INDEX(增益!$A$2:$Q$40,DU22,MATCH(EC$8,增益!$B$1:$Q$1,0)+1)*$AI22</f>
        <v>0</v>
      </c>
      <c r="ED22" s="2" cm="1">
        <f t="array" ref="ED22">INDEX(增益!$A$2:$Q$40,DU22,MATCH(ED$8,增益!$B$1:$Q$1,0)+1)*$AI22</f>
        <v>0</v>
      </c>
      <c r="EE22" s="2" cm="1">
        <f t="array" ref="EE22">INDEX(增益!$A$2:$Q$40,DU22,MATCH(EE$8,增益!$B$1:$Q$1,0)+1)*$AI22</f>
        <v>0</v>
      </c>
      <c r="EL22" s="2" cm="1">
        <f t="array" ref="EL22">INDEX(增益!$A$2:$Q$40,DU22,MATCH(EL$8,增益!$B$1:$Q$1,0)+1)*$AI22</f>
        <v>0</v>
      </c>
      <c r="EM22" s="2" cm="1">
        <f t="array" ref="EM22">INDEX(增益!$A$2:$Q$40,DU22,MATCH(EM$8,增益!$B$1:$Q$1,0)+1)*$AI22</f>
        <v>0</v>
      </c>
      <c r="EN22" s="2" cm="1">
        <f t="array" ref="EN22">INDEX(增益!$A$2:$Q$40,DU22,MATCH(EN$8,增益!$B$1:$Q$1,0)+1)*$AI22</f>
        <v>0</v>
      </c>
      <c r="EP22" s="2" cm="1">
        <f t="array" ref="EP22">INDEX(增益!$A$2:$Q$40,DU22,MATCH(EP$8,增益!$B$1:$Q$1,0)+1)*$AI22</f>
        <v>0</v>
      </c>
      <c r="ER22" s="2" cm="1">
        <f t="array" ref="ER22">INDEX(增益!$A$2:$Q$40,DU22,MATCH(ER$8,增益!$B$1:$Q$1,0)+1)*$AI22</f>
        <v>0</v>
      </c>
      <c r="ES22" s="2" cm="1">
        <f t="array" ref="ES22">INDEX(增益!$A$2:$Q$40,DU22,MATCH(ES$8,增益!$B$1:$Q$1,0)+1)*$AI22</f>
        <v>0</v>
      </c>
      <c r="EW22" s="2" t="str" cm="1">
        <f t="array" ref="EW22">INDEX(云配队!$J27:$AC27,1,EW$1)</f>
        <v>预备备开Q普攻</v>
      </c>
      <c r="EX22" s="2">
        <f>IFERROR(MATCH(EW22,增益!$A$2:$A$40,FALSE),1)</f>
        <v>34</v>
      </c>
      <c r="EY22" s="2" cm="1">
        <f t="array" ref="EY22">INDEX(增益!$A$2:$Q$40,EX22,MATCH(EY$8,增益!$B$1:$Q$1,0)+1)*$AI22</f>
        <v>0</v>
      </c>
      <c r="EZ22" s="2" cm="1">
        <f t="array" ref="EZ22">INDEX(增益!$A$2:$Q$40,EX22,MATCH(EZ$8,增益!$B$1:$Q$1,0)+1)*$AI22</f>
        <v>0</v>
      </c>
      <c r="FA22" s="2" cm="1">
        <f t="array" ref="FA22">INDEX(增益!$A$2:$Q$40,EX22,MATCH(FA$8,增益!$B$1:$Q$1,0)+1)*$AI22</f>
        <v>0</v>
      </c>
      <c r="FB22" s="2" cm="1">
        <f t="array" ref="FB22">INDEX(增益!$A$2:$Q$40,EX22,MATCH(FB$8,增益!$B$1:$Q$1,0)+1)*$AI22</f>
        <v>0</v>
      </c>
      <c r="FC22" s="2" cm="1">
        <f t="array" ref="FC22">INDEX(增益!$A$2:$Q$40,EX22,MATCH(FC$8,增益!$B$1:$Q$1,0)+1)*$AI22</f>
        <v>0</v>
      </c>
      <c r="FD22" s="2" cm="1">
        <f t="array" ref="FD22">INDEX(增益!$A$2:$Q$40,EX22,MATCH(FD$8,增益!$B$1:$Q$1,0)+1)*$AI22</f>
        <v>0</v>
      </c>
      <c r="FE22" s="2" cm="1">
        <f t="array" ref="FE22">INDEX(增益!$A$2:$Q$40,EX22,MATCH(FE$8,增益!$B$1:$Q$1,0)+1)*$AI22</f>
        <v>0</v>
      </c>
      <c r="FF22" s="2" cm="1">
        <f t="array" ref="FF22">INDEX(增益!$A$2:$Q$40,EX22,MATCH(FF$8,增益!$B$1:$Q$1,0)+1)*$AI22</f>
        <v>0</v>
      </c>
      <c r="FG22" s="2" cm="1">
        <f t="array" ref="FG22">INDEX(增益!$A$2:$Q$40,EX22,MATCH(FG$8,增益!$B$1:$Q$1,0)+1)*$AI22</f>
        <v>0</v>
      </c>
      <c r="FH22" s="2" cm="1">
        <f t="array" ref="FH22">INDEX(增益!$A$2:$Q$40,EX22,MATCH(FH$8,增益!$B$1:$Q$1,0)+1)*$AI22</f>
        <v>0</v>
      </c>
      <c r="FO22" s="2" cm="1">
        <f t="array" ref="FO22">INDEX(增益!$A$2:$Q$40,EX22,MATCH(FO$8,增益!$B$1:$Q$1,0)+1)*$AI22</f>
        <v>0.1875</v>
      </c>
      <c r="FP22" s="2" cm="1">
        <f t="array" ref="FP22">INDEX(增益!$A$2:$Q$40,EX22,MATCH(FP$8,增益!$B$1:$Q$1,0)+1)*$AI22</f>
        <v>0</v>
      </c>
      <c r="FQ22" s="2" cm="1">
        <f t="array" ref="FQ22">INDEX(增益!$A$2:$Q$40,EX22,MATCH(FQ$8,增益!$B$1:$Q$1,0)+1)*$AI22</f>
        <v>0</v>
      </c>
      <c r="FS22" s="2" cm="1">
        <f t="array" ref="FS22">INDEX(增益!$A$2:$Q$40,EX22,MATCH(FS$8,增益!$B$1:$Q$1,0)+1)*$AI22</f>
        <v>0</v>
      </c>
      <c r="FU22" s="2" cm="1">
        <f t="array" ref="FU22">INDEX(增益!$A$2:$Q$40,EX22,MATCH(FU$8,增益!$B$1:$Q$1,0)+1)*$AI22</f>
        <v>0</v>
      </c>
      <c r="FV22" s="2" cm="1">
        <f t="array" ref="FV22">INDEX(增益!$A$2:$Q$40,EX22,MATCH(FV$8,增益!$B$1:$Q$1,0)+1)*$AI22</f>
        <v>0</v>
      </c>
      <c r="FZ22" s="2" cm="1">
        <f t="array" ref="FZ22">INDEX(云配队!$J27:$AC27,1,FZ$1)</f>
        <v>0</v>
      </c>
      <c r="GA22" s="2">
        <f>IFERROR(MATCH(FZ22,增益!$A$2:$A$40,FALSE),1)</f>
        <v>1</v>
      </c>
      <c r="GB22" s="2" cm="1">
        <f t="array" ref="GB22">INDEX(增益!$A$2:$Q$40,GA22,MATCH(GB$8,增益!$B$1:$Q$1,0)+1)*$AI22</f>
        <v>0</v>
      </c>
      <c r="GC22" s="2" cm="1">
        <f t="array" ref="GC22">INDEX(增益!$A$2:$Q$40,GA22,MATCH(GC$8,增益!$B$1:$Q$1,0)+1)*$AI22</f>
        <v>0</v>
      </c>
      <c r="GD22" s="2" cm="1">
        <f t="array" ref="GD22">INDEX(增益!$A$2:$Q$40,GA22,MATCH(GD$8,增益!$B$1:$Q$1,0)+1)*$AI22</f>
        <v>0</v>
      </c>
      <c r="GE22" s="2" cm="1">
        <f t="array" ref="GE22">INDEX(增益!$A$2:$Q$40,GA22,MATCH(GE$8,增益!$B$1:$Q$1,0)+1)*$AI22</f>
        <v>0</v>
      </c>
      <c r="GF22" s="2" cm="1">
        <f t="array" ref="GF22">INDEX(增益!$A$2:$Q$40,GA22,MATCH(GF$8,增益!$B$1:$Q$1,0)+1)*$AI22</f>
        <v>0</v>
      </c>
      <c r="GG22" s="2" cm="1">
        <f t="array" ref="GG22">INDEX(增益!$A$2:$Q$40,GA22,MATCH(GG$8,增益!$B$1:$Q$1,0)+1)*$AI22</f>
        <v>0</v>
      </c>
      <c r="GH22" s="2" cm="1">
        <f t="array" ref="GH22">INDEX(增益!$A$2:$Q$40,GA22,MATCH(GH$8,增益!$B$1:$Q$1,0)+1)*$AI22</f>
        <v>0</v>
      </c>
      <c r="GI22" s="2" cm="1">
        <f t="array" ref="GI22">INDEX(增益!$A$2:$Q$40,GA22,MATCH(GI$8,增益!$B$1:$Q$1,0)+1)*$AI22</f>
        <v>0</v>
      </c>
      <c r="GJ22" s="2" cm="1">
        <f t="array" ref="GJ22">INDEX(增益!$A$2:$Q$40,GA22,MATCH(GJ$8,增益!$B$1:$Q$1,0)+1)*$AI22</f>
        <v>0</v>
      </c>
      <c r="GK22" s="2" cm="1">
        <f t="array" ref="GK22">INDEX(增益!$A$2:$Q$40,GA22,MATCH(GK$8,增益!$B$1:$Q$1,0)+1)*$AI22</f>
        <v>0</v>
      </c>
      <c r="GR22" s="2" cm="1">
        <f t="array" ref="GR22">INDEX(增益!$A$2:$Q$40,GA22,MATCH(GR$8,增益!$B$1:$Q$1,0)+1)*$AI22</f>
        <v>0</v>
      </c>
      <c r="GS22" s="2" cm="1">
        <f t="array" ref="GS22">INDEX(增益!$A$2:$Q$40,GA22,MATCH(GS$8,增益!$B$1:$Q$1,0)+1)*$AI22</f>
        <v>0</v>
      </c>
      <c r="GT22" s="2" cm="1">
        <f t="array" ref="GT22">INDEX(增益!$A$2:$Q$40,GA22,MATCH(GT$8,增益!$B$1:$Q$1,0)+1)*$AI22</f>
        <v>0</v>
      </c>
      <c r="GV22" s="2" cm="1">
        <f t="array" ref="GV22">INDEX(增益!$A$2:$Q$40,GA22,MATCH(GV$8,增益!$B$1:$Q$1,0)+1)*$AI22</f>
        <v>0</v>
      </c>
      <c r="GX22" s="2" cm="1">
        <f t="array" ref="GX22">INDEX(增益!$A$2:$Q$40,GA22,MATCH(GX$8,增益!$B$1:$Q$1,0)+1)*$AI22</f>
        <v>0</v>
      </c>
      <c r="GY22" s="2" cm="1">
        <f t="array" ref="GY22">INDEX(增益!$A$2:$Q$40,GA22,MATCH(GY$8,增益!$B$1:$Q$1,0)+1)*$AI22</f>
        <v>0</v>
      </c>
      <c r="HC22" s="2" t="str" cm="1">
        <f t="array" ref="HC22">INDEX(云配队!$J27:$AC27,1,HC$1)</f>
        <v>预备备开Q非普攻</v>
      </c>
      <c r="HD22" s="2">
        <f>IFERROR(MATCH(HC22,增益!$A$2:$A$40,FALSE),1)</f>
        <v>35</v>
      </c>
      <c r="HE22" s="2" cm="1">
        <f t="array" ref="HE22">INDEX(增益!$A$2:$Q$40,HD22,MATCH(HE$8,增益!$B$1:$Q$1,0)+1)*$AI22</f>
        <v>0</v>
      </c>
      <c r="HF22" s="2" cm="1">
        <f t="array" ref="HF22">INDEX(增益!$A$2:$Q$40,HD22,MATCH(HF$8,增益!$B$1:$Q$1,0)+1)*$AI22</f>
        <v>0</v>
      </c>
      <c r="HG22" s="2" cm="1">
        <f t="array" ref="HG22">INDEX(增益!$A$2:$Q$40,HD22,MATCH(HG$8,增益!$B$1:$Q$1,0)+1)*$AI22</f>
        <v>0</v>
      </c>
      <c r="HH22" s="2" cm="1">
        <f t="array" ref="HH22">INDEX(增益!$A$2:$Q$40,HD22,MATCH(HH$8,增益!$B$1:$Q$1,0)+1)*$AI22</f>
        <v>0</v>
      </c>
      <c r="HI22" s="2" cm="1">
        <f t="array" ref="HI22">INDEX(增益!$A$2:$Q$40,HD22,MATCH(HI$8,增益!$B$1:$Q$1,0)+1)*$AI22</f>
        <v>0</v>
      </c>
      <c r="HJ22" s="2" cm="1">
        <f t="array" ref="HJ22">INDEX(增益!$A$2:$Q$40,HD22,MATCH(HJ$8,增益!$B$1:$Q$1,0)+1)*$AI22</f>
        <v>0</v>
      </c>
      <c r="HK22" s="2" cm="1">
        <f t="array" ref="HK22">INDEX(增益!$A$2:$Q$40,HD22,MATCH(HK$8,增益!$B$1:$Q$1,0)+1)*$AI22</f>
        <v>0</v>
      </c>
      <c r="HL22" s="2" cm="1">
        <f t="array" ref="HL22">INDEX(增益!$A$2:$Q$40,HD22,MATCH(HL$8,增益!$B$1:$Q$1,0)+1)*$AI22</f>
        <v>0</v>
      </c>
      <c r="HM22" s="2" cm="1">
        <f t="array" ref="HM22">INDEX(增益!$A$2:$Q$40,HD22,MATCH(HM$8,增益!$B$1:$Q$1,0)+1)*$AI22</f>
        <v>0</v>
      </c>
      <c r="HN22" s="2" cm="1">
        <f t="array" ref="HN22">INDEX(增益!$A$2:$Q$40,HD22,MATCH(HN$8,增益!$B$1:$Q$1,0)+1)*$AI22</f>
        <v>0</v>
      </c>
      <c r="HU22" s="2" cm="1">
        <f t="array" ref="HU22">INDEX(增益!$A$2:$Q$40,HD22,MATCH(HU$8,增益!$B$1:$Q$1,0)+1)*$AI22</f>
        <v>0.075</v>
      </c>
      <c r="HV22" s="2" cm="1">
        <f t="array" ref="HV22">INDEX(增益!$A$2:$Q$40,HD22,MATCH(HV$8,增益!$B$1:$Q$1,0)+1)*$AI22</f>
        <v>0</v>
      </c>
      <c r="HW22" s="2" cm="1">
        <f t="array" ref="HW22">INDEX(增益!$A$2:$Q$40,HD22,MATCH(HW$8,增益!$B$1:$Q$1,0)+1)*$AI22</f>
        <v>0</v>
      </c>
      <c r="HY22" s="2" cm="1">
        <f t="array" ref="HY22">INDEX(增益!$A$2:$Q$40,HD22,MATCH(HY$8,增益!$B$1:$Q$1,0)+1)*$AI22</f>
        <v>0</v>
      </c>
      <c r="IA22" s="2" cm="1">
        <f t="array" ref="IA22">INDEX(增益!$A$2:$Q$40,HD22,MATCH(IA$8,增益!$B$1:$Q$1,0)+1)*$AI22</f>
        <v>0</v>
      </c>
      <c r="IB22" s="2" cm="1">
        <f t="array" ref="IB22">INDEX(增益!$A$2:$Q$40,HD22,MATCH(IB$8,增益!$B$1:$Q$1,0)+1)*$AI22</f>
        <v>0</v>
      </c>
      <c r="IF22" s="2" cm="1">
        <f t="array" ref="IF22">INDEX(云配队!$J27:$AC27,1,IF$1)</f>
        <v>0</v>
      </c>
      <c r="IG22" s="2">
        <f>IFERROR(MATCH(IF22,增益!$A$2:$A$40,FALSE),1)</f>
        <v>1</v>
      </c>
      <c r="IH22" s="2" cm="1">
        <f t="array" ref="IH22">INDEX(增益!$A$2:$Q$40,IG22,MATCH(IH$8,增益!$B$1:$Q$1,0)+1)*$AI22</f>
        <v>0</v>
      </c>
      <c r="II22" s="2" cm="1">
        <f t="array" ref="II22">INDEX(增益!$A$2:$Q$40,IG22,MATCH(II$8,增益!$B$1:$Q$1,0)+1)*$AI22</f>
        <v>0</v>
      </c>
      <c r="IJ22" s="2" cm="1">
        <f t="array" ref="IJ22">INDEX(增益!$A$2:$Q$40,IG22,MATCH(IJ$8,增益!$B$1:$Q$1,0)+1)*$AI22</f>
        <v>0</v>
      </c>
      <c r="IK22" s="2" cm="1">
        <f t="array" ref="IK22">INDEX(增益!$A$2:$Q$40,IG22,MATCH(IK$8,增益!$B$1:$Q$1,0)+1)*$AI22</f>
        <v>0</v>
      </c>
      <c r="IL22" s="2" cm="1">
        <f t="array" ref="IL22">INDEX(增益!$A$2:$Q$40,IG22,MATCH(IL$8,增益!$B$1:$Q$1,0)+1)*$AI22</f>
        <v>0</v>
      </c>
      <c r="IM22" s="2" cm="1">
        <f t="array" ref="IM22">INDEX(增益!$A$2:$Q$40,IG22,MATCH(IM$8,增益!$B$1:$Q$1,0)+1)*$AI22</f>
        <v>0</v>
      </c>
      <c r="IN22" s="2" cm="1">
        <f t="array" ref="IN22">INDEX(增益!$A$2:$Q$40,IG22,MATCH(IN$8,增益!$B$1:$Q$1,0)+1)*$AI22</f>
        <v>0</v>
      </c>
      <c r="IO22" s="2" cm="1">
        <f t="array" ref="IO22">INDEX(增益!$A$2:$Q$40,IG22,MATCH(IO$8,增益!$B$1:$Q$1,0)+1)*$AI22</f>
        <v>0</v>
      </c>
      <c r="IP22" s="2" cm="1">
        <f t="array" ref="IP22">INDEX(增益!$A$2:$Q$40,IG22,MATCH(IP$8,增益!$B$1:$Q$1,0)+1)*$AI22</f>
        <v>0</v>
      </c>
      <c r="IQ22" s="2" cm="1">
        <f t="array" ref="IQ22">INDEX(增益!$A$2:$Q$40,IG22,MATCH(IQ$8,增益!$B$1:$Q$1,0)+1)*$AI22</f>
        <v>0</v>
      </c>
      <c r="IX22" s="2" cm="1">
        <f t="array" ref="IX22">INDEX(增益!$A$2:$Q$40,IG22,MATCH(IX$8,增益!$B$1:$Q$1,0)+1)*$AI22</f>
        <v>0</v>
      </c>
      <c r="IY22" s="2" cm="1">
        <f t="array" ref="IY22">INDEX(增益!$A$2:$Q$40,IG22,MATCH(IY$8,增益!$B$1:$Q$1,0)+1)*$AI22</f>
        <v>0</v>
      </c>
      <c r="IZ22" s="2" cm="1">
        <f t="array" ref="IZ22">INDEX(增益!$A$2:$Q$40,IG22,MATCH(IZ$8,增益!$B$1:$Q$1,0)+1)*$AI22</f>
        <v>0</v>
      </c>
      <c r="JB22" s="2" cm="1">
        <f t="array" ref="JB22">INDEX(增益!$A$2:$Q$40,IG22,MATCH(JB$8,增益!$B$1:$Q$1,0)+1)*$AI22</f>
        <v>0</v>
      </c>
      <c r="JD22" s="2" cm="1">
        <f t="array" ref="JD22">INDEX(增益!$A$2:$Q$40,IG22,MATCH(JD$8,增益!$B$1:$Q$1,0)+1)*$AI22</f>
        <v>0</v>
      </c>
      <c r="JE22" s="2" cm="1">
        <f t="array" ref="JE22">INDEX(增益!$A$2:$Q$40,IG22,MATCH(JE$8,增益!$B$1:$Q$1,0)+1)*$AI22</f>
        <v>0</v>
      </c>
      <c r="JI22" s="2" cm="1">
        <f t="array" ref="JI22">INDEX(云配队!$J27:$AC27,1,JI$1)</f>
        <v>0</v>
      </c>
      <c r="JJ22" s="2">
        <f>IFERROR(MATCH(JI22,增益!$A$2:$A$40,FALSE),1)</f>
        <v>1</v>
      </c>
      <c r="JK22" s="2" cm="1">
        <f t="array" ref="JK22">INDEX(增益!$A$2:$Q$40,JJ22,MATCH(JK$8,增益!$B$1:$Q$1,0)+1)*$AI22</f>
        <v>0</v>
      </c>
      <c r="JL22" s="2" cm="1">
        <f t="array" ref="JL22">INDEX(增益!$A$2:$Q$40,JJ22,MATCH(JL$8,增益!$B$1:$Q$1,0)+1)*$AI22</f>
        <v>0</v>
      </c>
      <c r="JM22" s="2" cm="1">
        <f t="array" ref="JM22">INDEX(增益!$A$2:$Q$40,JJ22,MATCH(JM$8,增益!$B$1:$Q$1,0)+1)*$AI22</f>
        <v>0</v>
      </c>
      <c r="JN22" s="2" cm="1">
        <f t="array" ref="JN22">INDEX(增益!$A$2:$Q$40,JJ22,MATCH(JN$8,增益!$B$1:$Q$1,0)+1)*$AI22</f>
        <v>0</v>
      </c>
      <c r="JO22" s="2" cm="1">
        <f t="array" ref="JO22">INDEX(增益!$A$2:$Q$40,JJ22,MATCH(JO$8,增益!$B$1:$Q$1,0)+1)*$AI22</f>
        <v>0</v>
      </c>
      <c r="JP22" s="2" cm="1">
        <f t="array" ref="JP22">INDEX(增益!$A$2:$Q$40,JJ22,MATCH(JP$8,增益!$B$1:$Q$1,0)+1)*$AI22</f>
        <v>0</v>
      </c>
      <c r="JQ22" s="2" cm="1">
        <f t="array" ref="JQ22">INDEX(增益!$A$2:$Q$40,JJ22,MATCH(JQ$8,增益!$B$1:$Q$1,0)+1)*$AI22</f>
        <v>0</v>
      </c>
      <c r="JR22" s="2" cm="1">
        <f t="array" ref="JR22">INDEX(增益!$A$2:$Q$40,JJ22,MATCH(JR$8,增益!$B$1:$Q$1,0)+1)*$AI22</f>
        <v>0</v>
      </c>
      <c r="JS22" s="2" cm="1">
        <f t="array" ref="JS22">INDEX(增益!$A$2:$Q$40,JJ22,MATCH(JS$8,增益!$B$1:$Q$1,0)+1)*$AI22</f>
        <v>0</v>
      </c>
      <c r="JT22" s="2" cm="1">
        <f t="array" ref="JT22">INDEX(增益!$A$2:$Q$40,JJ22,MATCH(JT$8,增益!$B$1:$Q$1,0)+1)*$AI22</f>
        <v>0</v>
      </c>
      <c r="KA22" s="2" cm="1">
        <f t="array" ref="KA22">INDEX(增益!$A$2:$Q$40,JJ22,MATCH(KA$8,增益!$B$1:$Q$1,0)+1)*$AI22</f>
        <v>0</v>
      </c>
      <c r="KB22" s="2" cm="1">
        <f t="array" ref="KB22">INDEX(增益!$A$2:$Q$40,JJ22,MATCH(KB$8,增益!$B$1:$Q$1,0)+1)*$AI22</f>
        <v>0</v>
      </c>
      <c r="KC22" s="2" cm="1">
        <f t="array" ref="KC22">INDEX(增益!$A$2:$Q$40,JJ22,MATCH(KC$8,增益!$B$1:$Q$1,0)+1)*$AI22</f>
        <v>0</v>
      </c>
      <c r="KE22" s="2" cm="1">
        <f t="array" ref="KE22">INDEX(增益!$A$2:$Q$40,JJ22,MATCH(KE$8,增益!$B$1:$Q$1,0)+1)*$AI22</f>
        <v>0</v>
      </c>
      <c r="KG22" s="2" cm="1">
        <f t="array" ref="KG22">INDEX(增益!$A$2:$Q$40,JJ22,MATCH(KG$8,增益!$B$1:$Q$1,0)+1)*$AI22</f>
        <v>0</v>
      </c>
      <c r="KH22" s="2" cm="1">
        <f t="array" ref="KH22">INDEX(增益!$A$2:$Q$40,JJ22,MATCH(KH$8,增益!$B$1:$Q$1,0)+1)*$AI22</f>
        <v>0</v>
      </c>
      <c r="KL22" s="2" cm="1">
        <f t="array" ref="KL22">INDEX(云配队!$J27:$AC27,1,KL$1)</f>
        <v>0</v>
      </c>
      <c r="KM22" s="2">
        <f>IFERROR(MATCH(KL22,增益!$A$2:$A$40,FALSE),1)</f>
        <v>1</v>
      </c>
      <c r="KN22" s="2" cm="1">
        <f t="array" ref="KN22">INDEX(增益!$A$2:$Q$40,KM22,MATCH(KN$8,增益!$B$1:$Q$1,0)+1)*$AI22</f>
        <v>0</v>
      </c>
      <c r="KO22" s="2" cm="1">
        <f t="array" ref="KO22">INDEX(增益!$A$2:$Q$40,KM22,MATCH(KO$8,增益!$B$1:$Q$1,0)+1)*$AI22</f>
        <v>0</v>
      </c>
      <c r="KP22" s="2" cm="1">
        <f t="array" ref="KP22">INDEX(增益!$A$2:$Q$40,KM22,MATCH(KP$8,增益!$B$1:$Q$1,0)+1)*$AI22</f>
        <v>0</v>
      </c>
      <c r="KQ22" s="2" cm="1">
        <f t="array" ref="KQ22">INDEX(增益!$A$2:$Q$40,KM22,MATCH(KQ$8,增益!$B$1:$Q$1,0)+1)*$AI22</f>
        <v>0</v>
      </c>
      <c r="KR22" s="2" cm="1">
        <f t="array" ref="KR22">INDEX(增益!$A$2:$Q$40,KM22,MATCH(KR$8,增益!$B$1:$Q$1,0)+1)*$AI22</f>
        <v>0</v>
      </c>
      <c r="KS22" s="2" cm="1">
        <f t="array" ref="KS22">INDEX(增益!$A$2:$Q$40,KM22,MATCH(KS$8,增益!$B$1:$Q$1,0)+1)*$AI22</f>
        <v>0</v>
      </c>
      <c r="KT22" s="2" cm="1">
        <f t="array" ref="KT22">INDEX(增益!$A$2:$Q$40,KM22,MATCH(KT$8,增益!$B$1:$Q$1,0)+1)*$AI22</f>
        <v>0</v>
      </c>
      <c r="KU22" s="2" cm="1">
        <f t="array" ref="KU22">INDEX(增益!$A$2:$Q$40,KM22,MATCH(KU$8,增益!$B$1:$Q$1,0)+1)*$AI22</f>
        <v>0</v>
      </c>
      <c r="KV22" s="2" cm="1">
        <f t="array" ref="KV22">INDEX(增益!$A$2:$Q$40,KM22,MATCH(KV$8,增益!$B$1:$Q$1,0)+1)*$AI22</f>
        <v>0</v>
      </c>
      <c r="KW22" s="2" cm="1">
        <f t="array" ref="KW22">INDEX(增益!$A$2:$Q$40,KM22,MATCH(KW$8,增益!$B$1:$Q$1,0)+1)*$AI22</f>
        <v>0</v>
      </c>
      <c r="LD22" s="2" cm="1">
        <f t="array" ref="LD22">INDEX(增益!$A$2:$Q$40,KM22,MATCH(LD$8,增益!$B$1:$Q$1,0)+1)*$AI22</f>
        <v>0</v>
      </c>
      <c r="LE22" s="2" cm="1">
        <f t="array" ref="LE22">INDEX(增益!$A$2:$Q$40,KM22,MATCH(LE$8,增益!$B$1:$Q$1,0)+1)*$AI22</f>
        <v>0</v>
      </c>
      <c r="LF22" s="2" cm="1">
        <f t="array" ref="LF22">INDEX(增益!$A$2:$Q$40,KM22,MATCH(LF$8,增益!$B$1:$Q$1,0)+1)*$AI22</f>
        <v>0</v>
      </c>
      <c r="LH22" s="2" cm="1">
        <f t="array" ref="LH22">INDEX(增益!$A$2:$Q$40,KM22,MATCH(LH$8,增益!$B$1:$Q$1,0)+1)*$AI22</f>
        <v>0</v>
      </c>
      <c r="LJ22" s="2" cm="1">
        <f t="array" ref="LJ22">INDEX(增益!$A$2:$Q$40,KM22,MATCH(LJ$8,增益!$B$1:$Q$1,0)+1)*$AI22</f>
        <v>0</v>
      </c>
      <c r="LK22" s="2" cm="1">
        <f t="array" ref="LK22">INDEX(增益!$A$2:$Q$40,KM22,MATCH(LK$8,增益!$B$1:$Q$1,0)+1)*$AI22</f>
        <v>0</v>
      </c>
      <c r="LO22" s="2" cm="1">
        <f t="array" ref="LO22">INDEX(云配队!$J27:$AC27,1,LO$1)</f>
        <v>0</v>
      </c>
      <c r="LP22" s="2">
        <f>IFERROR(MATCH(LO22,增益!$A$2:$A$40,FALSE),1)</f>
        <v>1</v>
      </c>
      <c r="LQ22" s="2" cm="1">
        <f t="array" ref="LQ22">INDEX(增益!$A$2:$Q$40,LP22,MATCH(LQ$8,增益!$B$1:$Q$1,0)+1)*$AI22</f>
        <v>0</v>
      </c>
      <c r="LR22" s="2" cm="1">
        <f t="array" ref="LR22">INDEX(增益!$A$2:$Q$40,LP22,MATCH(LR$8,增益!$B$1:$Q$1,0)+1)*$AI22</f>
        <v>0</v>
      </c>
      <c r="LS22" s="2" cm="1">
        <f t="array" ref="LS22">INDEX(增益!$A$2:$Q$40,LP22,MATCH(LS$8,增益!$B$1:$Q$1,0)+1)*$AI22</f>
        <v>0</v>
      </c>
      <c r="LT22" s="2" cm="1">
        <f t="array" ref="LT22">INDEX(增益!$A$2:$Q$40,LP22,MATCH(LT$8,增益!$B$1:$Q$1,0)+1)*$AI22</f>
        <v>0</v>
      </c>
      <c r="LU22" s="2" cm="1">
        <f t="array" ref="LU22">INDEX(增益!$A$2:$Q$40,LP22,MATCH(LU$8,增益!$B$1:$Q$1,0)+1)*$AI22</f>
        <v>0</v>
      </c>
      <c r="LV22" s="2" cm="1">
        <f t="array" ref="LV22">INDEX(增益!$A$2:$Q$40,LP22,MATCH(LV$8,增益!$B$1:$Q$1,0)+1)*$AI22</f>
        <v>0</v>
      </c>
      <c r="LW22" s="2" cm="1">
        <f t="array" ref="LW22">INDEX(增益!$A$2:$Q$40,LP22,MATCH(LW$8,增益!$B$1:$Q$1,0)+1)*$AI22</f>
        <v>0</v>
      </c>
      <c r="LX22" s="2" cm="1">
        <f t="array" ref="LX22">INDEX(增益!$A$2:$Q$40,LP22,MATCH(LX$8,增益!$B$1:$Q$1,0)+1)*$AI22</f>
        <v>0</v>
      </c>
      <c r="LY22" s="2" cm="1">
        <f t="array" ref="LY22">INDEX(增益!$A$2:$Q$40,LP22,MATCH(LY$8,增益!$B$1:$Q$1,0)+1)*$AI22</f>
        <v>0</v>
      </c>
      <c r="LZ22" s="2" cm="1">
        <f t="array" ref="LZ22">INDEX(增益!$A$2:$Q$40,LP22,MATCH(LZ$8,增益!$B$1:$Q$1,0)+1)*$AI22</f>
        <v>0</v>
      </c>
      <c r="MG22" s="2" cm="1">
        <f t="array" ref="MG22">INDEX(增益!$A$2:$Q$40,LP22,MATCH(MG$8,增益!$B$1:$Q$1,0)+1)*$AI22</f>
        <v>0</v>
      </c>
      <c r="MH22" s="2" cm="1">
        <f t="array" ref="MH22">INDEX(增益!$A$2:$Q$40,LP22,MATCH(MH$8,增益!$B$1:$Q$1,0)+1)*$AI22</f>
        <v>0</v>
      </c>
      <c r="MI22" s="2" cm="1">
        <f t="array" ref="MI22">INDEX(增益!$A$2:$Q$40,LP22,MATCH(MI$8,增益!$B$1:$Q$1,0)+1)*$AI22</f>
        <v>0</v>
      </c>
      <c r="MK22" s="2" cm="1">
        <f t="array" ref="MK22">INDEX(增益!$A$2:$Q$40,LP22,MATCH(MK$8,增益!$B$1:$Q$1,0)+1)*$AI22</f>
        <v>0</v>
      </c>
      <c r="MM22" s="2" cm="1">
        <f t="array" ref="MM22">INDEX(增益!$A$2:$Q$40,LP22,MATCH(MM$8,增益!$B$1:$Q$1,0)+1)*$AI22</f>
        <v>0</v>
      </c>
      <c r="MN22" s="2" cm="1">
        <f t="array" ref="MN22">INDEX(增益!$A$2:$Q$40,LP22,MATCH(MN$8,增益!$B$1:$Q$1,0)+1)*$AI22</f>
        <v>0</v>
      </c>
      <c r="MR22" s="2" cm="1">
        <f t="array" ref="MR22">INDEX(云配队!$J27:$AC27,1,MR$1)</f>
        <v>0</v>
      </c>
      <c r="MS22" s="2">
        <f>IFERROR(MATCH(MR22,增益!$A$2:$A$40,FALSE),1)</f>
        <v>1</v>
      </c>
      <c r="MT22" s="2" cm="1">
        <f t="array" ref="MT22">INDEX(增益!$A$2:$Q$40,MS22,MATCH(MT$8,增益!$B$1:$Q$1,0)+1)*$AI22</f>
        <v>0</v>
      </c>
      <c r="MU22" s="2" cm="1">
        <f t="array" ref="MU22">INDEX(增益!$A$2:$Q$40,MS22,MATCH(MU$8,增益!$B$1:$Q$1,0)+1)*$AI22</f>
        <v>0</v>
      </c>
      <c r="MV22" s="2" cm="1">
        <f t="array" ref="MV22">INDEX(增益!$A$2:$Q$40,MS22,MATCH(MV$8,增益!$B$1:$Q$1,0)+1)*$AI22</f>
        <v>0</v>
      </c>
      <c r="MW22" s="2" cm="1">
        <f t="array" ref="MW22">INDEX(增益!$A$2:$Q$40,MS22,MATCH(MW$8,增益!$B$1:$Q$1,0)+1)*$AI22</f>
        <v>0</v>
      </c>
      <c r="MX22" s="2" cm="1">
        <f t="array" ref="MX22">INDEX(增益!$A$2:$Q$40,MS22,MATCH(MX$8,增益!$B$1:$Q$1,0)+1)*$AI22</f>
        <v>0</v>
      </c>
      <c r="MY22" s="2" cm="1">
        <f t="array" ref="MY22">INDEX(增益!$A$2:$Q$40,MS22,MATCH(MY$8,增益!$B$1:$Q$1,0)+1)*$AI22</f>
        <v>0</v>
      </c>
      <c r="MZ22" s="2" cm="1">
        <f t="array" ref="MZ22">INDEX(增益!$A$2:$Q$40,MS22,MATCH(MZ$8,增益!$B$1:$Q$1,0)+1)*$AI22</f>
        <v>0</v>
      </c>
      <c r="NA22" s="2" cm="1">
        <f t="array" ref="NA22">INDEX(增益!$A$2:$Q$40,MS22,MATCH(NA$8,增益!$B$1:$Q$1,0)+1)*$AI22</f>
        <v>0</v>
      </c>
      <c r="NB22" s="2" cm="1">
        <f t="array" ref="NB22">INDEX(增益!$A$2:$Q$40,MS22,MATCH(NB$8,增益!$B$1:$Q$1,0)+1)*$AI22</f>
        <v>0</v>
      </c>
      <c r="NC22" s="2" cm="1">
        <f t="array" ref="NC22">INDEX(增益!$A$2:$Q$40,MS22,MATCH(NC$8,增益!$B$1:$Q$1,0)+1)*$AI22</f>
        <v>0</v>
      </c>
      <c r="NJ22" s="2" cm="1">
        <f t="array" ref="NJ22">INDEX(增益!$A$2:$Q$40,MS22,MATCH(NJ$8,增益!$B$1:$Q$1,0)+1)*$AI22</f>
        <v>0</v>
      </c>
      <c r="NK22" s="2" cm="1">
        <f t="array" ref="NK22">INDEX(增益!$A$2:$Q$40,MS22,MATCH(NK$8,增益!$B$1:$Q$1,0)+1)*$AI22</f>
        <v>0</v>
      </c>
      <c r="NL22" s="2" cm="1">
        <f t="array" ref="NL22">INDEX(增益!$A$2:$Q$40,MS22,MATCH(NL$8,增益!$B$1:$Q$1,0)+1)*$AI22</f>
        <v>0</v>
      </c>
      <c r="NN22" s="2" cm="1">
        <f t="array" ref="NN22">INDEX(增益!$A$2:$Q$40,MS22,MATCH(NN$8,增益!$B$1:$Q$1,0)+1)*$AI22</f>
        <v>0</v>
      </c>
      <c r="NP22" s="2" cm="1">
        <f t="array" ref="NP22">INDEX(增益!$A$2:$Q$40,MS22,MATCH(NP$8,增益!$B$1:$Q$1,0)+1)*$AI22</f>
        <v>0</v>
      </c>
      <c r="NQ22" s="2" cm="1">
        <f t="array" ref="NQ22">INDEX(增益!$A$2:$Q$40,MS22,MATCH(NQ$8,增益!$B$1:$Q$1,0)+1)*$AI22</f>
        <v>0</v>
      </c>
      <c r="NU22" s="2" cm="1">
        <f t="array" ref="NU22">INDEX(云配队!$J27:$AC27,1,NU$1)</f>
        <v>0</v>
      </c>
      <c r="NV22" s="2">
        <f>IFERROR(MATCH(NU22,增益!$A$2:$A$40,FALSE),1)</f>
        <v>1</v>
      </c>
      <c r="NW22" s="2" cm="1">
        <f t="array" ref="NW22">INDEX(增益!$A$2:$Q$40,NV22,MATCH(NW$8,增益!$B$1:$Q$1,0)+1)*$AI22</f>
        <v>0</v>
      </c>
      <c r="NX22" s="2" cm="1">
        <f t="array" ref="NX22">INDEX(增益!$A$2:$Q$40,NV22,MATCH(NX$8,增益!$B$1:$Q$1,0)+1)*$AI22</f>
        <v>0</v>
      </c>
      <c r="NY22" s="2" cm="1">
        <f t="array" ref="NY22">INDEX(增益!$A$2:$Q$40,NV22,MATCH(NY$8,增益!$B$1:$Q$1,0)+1)*$AI22</f>
        <v>0</v>
      </c>
      <c r="NZ22" s="2" cm="1">
        <f t="array" ref="NZ22">INDEX(增益!$A$2:$Q$40,NV22,MATCH(NZ$8,增益!$B$1:$Q$1,0)+1)*$AI22</f>
        <v>0</v>
      </c>
      <c r="OA22" s="2" cm="1">
        <f t="array" ref="OA22">INDEX(增益!$A$2:$Q$40,NV22,MATCH(OA$8,增益!$B$1:$Q$1,0)+1)*$AI22</f>
        <v>0</v>
      </c>
      <c r="OB22" s="2" cm="1">
        <f t="array" ref="OB22">INDEX(增益!$A$2:$Q$40,NV22,MATCH(OB$8,增益!$B$1:$Q$1,0)+1)*$AI22</f>
        <v>0</v>
      </c>
      <c r="OC22" s="2" cm="1">
        <f t="array" ref="OC22">INDEX(增益!$A$2:$Q$40,NV22,MATCH(OC$8,增益!$B$1:$Q$1,0)+1)*$AI22</f>
        <v>0</v>
      </c>
      <c r="OD22" s="2" cm="1">
        <f t="array" ref="OD22">INDEX(增益!$A$2:$Q$40,NV22,MATCH(OD$8,增益!$B$1:$Q$1,0)+1)*$AI22</f>
        <v>0</v>
      </c>
      <c r="OE22" s="2" cm="1">
        <f t="array" ref="OE22">INDEX(增益!$A$2:$Q$40,NV22,MATCH(OE$8,增益!$B$1:$Q$1,0)+1)*$AI22</f>
        <v>0</v>
      </c>
      <c r="OF22" s="2" cm="1">
        <f t="array" ref="OF22">INDEX(增益!$A$2:$Q$40,NV22,MATCH(OF$8,增益!$B$1:$Q$1,0)+1)*$AI22</f>
        <v>0</v>
      </c>
      <c r="OM22" s="2" cm="1">
        <f t="array" ref="OM22">INDEX(增益!$A$2:$Q$40,NV22,MATCH(OM$8,增益!$B$1:$Q$1,0)+1)*$AI22</f>
        <v>0</v>
      </c>
      <c r="ON22" s="2" cm="1">
        <f t="array" ref="ON22">INDEX(增益!$A$2:$Q$40,NV22,MATCH(ON$8,增益!$B$1:$Q$1,0)+1)*$AI22</f>
        <v>0</v>
      </c>
      <c r="OO22" s="2" cm="1">
        <f t="array" ref="OO22">INDEX(增益!$A$2:$Q$40,NV22,MATCH(OO$8,增益!$B$1:$Q$1,0)+1)*$AI22</f>
        <v>0</v>
      </c>
      <c r="OQ22" s="2" cm="1">
        <f t="array" ref="OQ22">INDEX(增益!$A$2:$Q$40,NV22,MATCH(OQ$8,增益!$B$1:$Q$1,0)+1)*$AI22</f>
        <v>0</v>
      </c>
      <c r="OS22" s="2" cm="1">
        <f t="array" ref="OS22">INDEX(增益!$A$2:$Q$40,NV22,MATCH(OS$8,增益!$B$1:$Q$1,0)+1)*$AI22</f>
        <v>0</v>
      </c>
      <c r="OT22" s="2" cm="1">
        <f t="array" ref="OT22">INDEX(增益!$A$2:$Q$40,NV22,MATCH(OT$8,增益!$B$1:$Q$1,0)+1)*$AI22</f>
        <v>0</v>
      </c>
      <c r="OX22" s="2" cm="1">
        <f t="array" ref="OX22">INDEX(云配队!$J27:$AC27,1,OX$1)</f>
        <v>0</v>
      </c>
      <c r="OY22" s="2">
        <f>IFERROR(MATCH(OX22,增益!$A$2:$A$40,FALSE),1)</f>
        <v>1</v>
      </c>
      <c r="OZ22" s="2" cm="1">
        <f t="array" ref="OZ22">INDEX(增益!$A$2:$Q$40,OY22,MATCH(OZ$8,增益!$B$1:$Q$1,0)+1)*$AI22</f>
        <v>0</v>
      </c>
      <c r="PA22" s="2" cm="1">
        <f t="array" ref="PA22">INDEX(增益!$A$2:$Q$40,OY22,MATCH(PA$8,增益!$B$1:$Q$1,0)+1)*$AI22</f>
        <v>0</v>
      </c>
      <c r="PB22" s="2" cm="1">
        <f t="array" ref="PB22">INDEX(增益!$A$2:$Q$40,OY22,MATCH(PB$8,增益!$B$1:$Q$1,0)+1)*$AI22</f>
        <v>0</v>
      </c>
      <c r="PC22" s="2" cm="1">
        <f t="array" ref="PC22">INDEX(增益!$A$2:$Q$40,OY22,MATCH(PC$8,增益!$B$1:$Q$1,0)+1)*$AI22</f>
        <v>0</v>
      </c>
      <c r="PD22" s="2" cm="1">
        <f t="array" ref="PD22">INDEX(增益!$A$2:$Q$40,OY22,MATCH(PD$8,增益!$B$1:$Q$1,0)+1)*$AI22</f>
        <v>0</v>
      </c>
      <c r="PE22" s="2" cm="1">
        <f t="array" ref="PE22">INDEX(增益!$A$2:$Q$40,OY22,MATCH(PE$8,增益!$B$1:$Q$1,0)+1)*$AI22</f>
        <v>0</v>
      </c>
      <c r="PF22" s="2" cm="1">
        <f t="array" ref="PF22">INDEX(增益!$A$2:$Q$40,OY22,MATCH(PF$8,增益!$B$1:$Q$1,0)+1)*$AI22</f>
        <v>0</v>
      </c>
      <c r="PG22" s="2" cm="1">
        <f t="array" ref="PG22">INDEX(增益!$A$2:$Q$40,OY22,MATCH(PG$8,增益!$B$1:$Q$1,0)+1)*$AI22</f>
        <v>0</v>
      </c>
      <c r="PH22" s="2" cm="1">
        <f t="array" ref="PH22">INDEX(增益!$A$2:$Q$40,OY22,MATCH(PH$8,增益!$B$1:$Q$1,0)+1)*$AI22</f>
        <v>0</v>
      </c>
      <c r="PI22" s="2" cm="1">
        <f t="array" ref="PI22">INDEX(增益!$A$2:$Q$40,OY22,MATCH(PI$8,增益!$B$1:$Q$1,0)+1)*$AI22</f>
        <v>0</v>
      </c>
      <c r="PP22" s="2" cm="1">
        <f t="array" ref="PP22">INDEX(增益!$A$2:$Q$40,OY22,MATCH(PP$8,增益!$B$1:$Q$1,0)+1)*$AI22</f>
        <v>0</v>
      </c>
      <c r="PQ22" s="2" cm="1">
        <f t="array" ref="PQ22">INDEX(增益!$A$2:$Q$40,OY22,MATCH(PQ$8,增益!$B$1:$Q$1,0)+1)*$AI22</f>
        <v>0</v>
      </c>
      <c r="PR22" s="2" cm="1">
        <f t="array" ref="PR22">INDEX(增益!$A$2:$Q$40,OY22,MATCH(PR$8,增益!$B$1:$Q$1,0)+1)*$AI22</f>
        <v>0</v>
      </c>
      <c r="PT22" s="2" cm="1">
        <f t="array" ref="PT22">INDEX(增益!$A$2:$Q$40,OY22,MATCH(PT$8,增益!$B$1:$Q$1,0)+1)*$AI22</f>
        <v>0</v>
      </c>
      <c r="PV22" s="2" cm="1">
        <f t="array" ref="PV22">INDEX(增益!$A$2:$Q$40,OY22,MATCH(PV$8,增益!$B$1:$Q$1,0)+1)*$AI22</f>
        <v>0</v>
      </c>
      <c r="PW22" s="2" cm="1">
        <f t="array" ref="PW22">INDEX(增益!$A$2:$Q$40,OY22,MATCH(PW$8,增益!$B$1:$Q$1,0)+1)*$AI22</f>
        <v>0</v>
      </c>
      <c r="QA22" s="2" cm="1">
        <f t="array" ref="QA22">INDEX(云配队!$J27:$AC27,1,QA$1)</f>
        <v>0</v>
      </c>
      <c r="QB22" s="2">
        <f>IFERROR(MATCH(QA22,增益!$A$2:$A$40,FALSE),1)</f>
        <v>1</v>
      </c>
      <c r="QC22" s="2" cm="1">
        <f t="array" ref="QC22">INDEX(增益!$A$2:$Q$40,QB22,MATCH(QC$8,增益!$B$1:$Q$1,0)+1)*$AI22</f>
        <v>0</v>
      </c>
      <c r="QD22" s="2" cm="1">
        <f t="array" ref="QD22">INDEX(增益!$A$2:$Q$40,QB22,MATCH(QD$8,增益!$B$1:$Q$1,0)+1)*$AI22</f>
        <v>0</v>
      </c>
      <c r="QE22" s="2" cm="1">
        <f t="array" ref="QE22">INDEX(增益!$A$2:$Q$40,QB22,MATCH(QE$8,增益!$B$1:$Q$1,0)+1)*$AI22</f>
        <v>0</v>
      </c>
      <c r="QF22" s="2" cm="1">
        <f t="array" ref="QF22">INDEX(增益!$A$2:$Q$40,QB22,MATCH(QF$8,增益!$B$1:$Q$1,0)+1)*$AI22</f>
        <v>0</v>
      </c>
      <c r="QG22" s="2" cm="1">
        <f t="array" ref="QG22">INDEX(增益!$A$2:$Q$40,QB22,MATCH(QG$8,增益!$B$1:$Q$1,0)+1)*$AI22</f>
        <v>0</v>
      </c>
      <c r="QH22" s="2" cm="1">
        <f t="array" ref="QH22">INDEX(增益!$A$2:$Q$40,QB22,MATCH(QH$8,增益!$B$1:$Q$1,0)+1)*$AI22</f>
        <v>0</v>
      </c>
      <c r="QI22" s="2" cm="1">
        <f t="array" ref="QI22">INDEX(增益!$A$2:$Q$40,QB22,MATCH(QI$8,增益!$B$1:$Q$1,0)+1)*$AI22</f>
        <v>0</v>
      </c>
      <c r="QJ22" s="2" cm="1">
        <f t="array" ref="QJ22">INDEX(增益!$A$2:$Q$40,QB22,MATCH(QJ$8,增益!$B$1:$Q$1,0)+1)*$AI22</f>
        <v>0</v>
      </c>
      <c r="QK22" s="2" cm="1">
        <f t="array" ref="QK22">INDEX(增益!$A$2:$Q$40,QB22,MATCH(QK$8,增益!$B$1:$Q$1,0)+1)*$AI22</f>
        <v>0</v>
      </c>
      <c r="QL22" s="2" cm="1">
        <f t="array" ref="QL22">INDEX(增益!$A$2:$Q$40,QB22,MATCH(QL$8,增益!$B$1:$Q$1,0)+1)*$AI22</f>
        <v>0</v>
      </c>
      <c r="QS22" s="2" cm="1">
        <f t="array" ref="QS22">INDEX(增益!$A$2:$Q$40,QB22,MATCH(QS$8,增益!$B$1:$Q$1,0)+1)*$AI22</f>
        <v>0</v>
      </c>
      <c r="QT22" s="2" cm="1">
        <f t="array" ref="QT22">INDEX(增益!$A$2:$Q$40,QB22,MATCH(QT$8,增益!$B$1:$Q$1,0)+1)*$AI22</f>
        <v>0</v>
      </c>
      <c r="QU22" s="2" cm="1">
        <f t="array" ref="QU22">INDEX(增益!$A$2:$Q$40,QB22,MATCH(QU$8,增益!$B$1:$Q$1,0)+1)*$AI22</f>
        <v>0</v>
      </c>
      <c r="QW22" s="2" cm="1">
        <f t="array" ref="QW22">INDEX(增益!$A$2:$Q$40,QB22,MATCH(QW$8,增益!$B$1:$Q$1,0)+1)*$AI22</f>
        <v>0</v>
      </c>
      <c r="QY22" s="2" cm="1">
        <f t="array" ref="QY22">INDEX(增益!$A$2:$Q$40,QB22,MATCH(QY$8,增益!$B$1:$Q$1,0)+1)*$AI22</f>
        <v>0</v>
      </c>
      <c r="QZ22" s="2" cm="1">
        <f t="array" ref="QZ22">INDEX(增益!$A$2:$Q$40,QB22,MATCH(QZ$8,增益!$B$1:$Q$1,0)+1)*$AI22</f>
        <v>0</v>
      </c>
      <c r="RD22" s="2" cm="1">
        <f t="array" ref="RD22">INDEX(云配队!$J27:$AC27,1,RD$1)</f>
        <v>0</v>
      </c>
      <c r="RE22" s="2">
        <f>IFERROR(MATCH(RD22,增益!$A$2:$A$40,FALSE),1)</f>
        <v>1</v>
      </c>
      <c r="RF22" s="2" cm="1">
        <f t="array" ref="RF22">INDEX(增益!$A$2:$Q$40,RE22,MATCH(RF$8,增益!$B$1:$Q$1,0)+1)*$AI22</f>
        <v>0</v>
      </c>
      <c r="RG22" s="2" cm="1">
        <f t="array" ref="RG22">INDEX(增益!$A$2:$Q$40,RE22,MATCH(RG$8,增益!$B$1:$Q$1,0)+1)*$AI22</f>
        <v>0</v>
      </c>
      <c r="RH22" s="2" cm="1">
        <f t="array" ref="RH22">INDEX(增益!$A$2:$Q$40,RE22,MATCH(RH$8,增益!$B$1:$Q$1,0)+1)*$AI22</f>
        <v>0</v>
      </c>
      <c r="RI22" s="2" cm="1">
        <f t="array" ref="RI22">INDEX(增益!$A$2:$Q$40,RE22,MATCH(RI$8,增益!$B$1:$Q$1,0)+1)*$AI22</f>
        <v>0</v>
      </c>
      <c r="RJ22" s="2" cm="1">
        <f t="array" ref="RJ22">INDEX(增益!$A$2:$Q$40,RE22,MATCH(RJ$8,增益!$B$1:$Q$1,0)+1)*$AI22</f>
        <v>0</v>
      </c>
      <c r="RK22" s="2" cm="1">
        <f t="array" ref="RK22">INDEX(增益!$A$2:$Q$40,RE22,MATCH(RK$8,增益!$B$1:$Q$1,0)+1)*$AI22</f>
        <v>0</v>
      </c>
      <c r="RL22" s="2" cm="1">
        <f t="array" ref="RL22">INDEX(增益!$A$2:$Q$40,RE22,MATCH(RL$8,增益!$B$1:$Q$1,0)+1)*$AI22</f>
        <v>0</v>
      </c>
      <c r="RM22" s="2" cm="1">
        <f t="array" ref="RM22">INDEX(增益!$A$2:$Q$40,RE22,MATCH(RM$8,增益!$B$1:$Q$1,0)+1)*$AI22</f>
        <v>0</v>
      </c>
      <c r="RN22" s="2" cm="1">
        <f t="array" ref="RN22">INDEX(增益!$A$2:$Q$40,RE22,MATCH(RN$8,增益!$B$1:$Q$1,0)+1)*$AI22</f>
        <v>0</v>
      </c>
      <c r="RO22" s="2" cm="1">
        <f t="array" ref="RO22">INDEX(增益!$A$2:$Q$40,RE22,MATCH(RO$8,增益!$B$1:$Q$1,0)+1)*$AI22</f>
        <v>0</v>
      </c>
      <c r="RV22" s="2" cm="1">
        <f t="array" ref="RV22">INDEX(增益!$A$2:$Q$40,RE22,MATCH(RV$8,增益!$B$1:$Q$1,0)+1)*$AI22</f>
        <v>0</v>
      </c>
      <c r="RW22" s="2" cm="1">
        <f t="array" ref="RW22">INDEX(增益!$A$2:$Q$40,RE22,MATCH(RW$8,增益!$B$1:$Q$1,0)+1)*$AI22</f>
        <v>0</v>
      </c>
      <c r="RX22" s="2" cm="1">
        <f t="array" ref="RX22">INDEX(增益!$A$2:$Q$40,RE22,MATCH(RX$8,增益!$B$1:$Q$1,0)+1)*$AI22</f>
        <v>0</v>
      </c>
      <c r="RZ22" s="2" cm="1">
        <f t="array" ref="RZ22">INDEX(增益!$A$2:$Q$40,RE22,MATCH(RZ$8,增益!$B$1:$Q$1,0)+1)*$AI22</f>
        <v>0</v>
      </c>
      <c r="SB22" s="2" cm="1">
        <f t="array" ref="SB22">INDEX(增益!$A$2:$Q$40,RE22,MATCH(SB$8,增益!$B$1:$Q$1,0)+1)*$AI22</f>
        <v>0</v>
      </c>
      <c r="SC22" s="2" cm="1">
        <f t="array" ref="SC22">INDEX(增益!$A$2:$Q$40,RE22,MATCH(SC$8,增益!$B$1:$Q$1,0)+1)*$AI22</f>
        <v>0</v>
      </c>
      <c r="SG22" s="2" cm="1">
        <f t="array" ref="SG22">INDEX(云配队!$J27:$AC27,1,SG$1)</f>
        <v>0</v>
      </c>
      <c r="SH22" s="2">
        <f>IFERROR(MATCH(SG22,增益!$A$2:$A$40,FALSE),1)</f>
        <v>1</v>
      </c>
      <c r="SI22" s="2" cm="1">
        <f t="array" ref="SI22">INDEX(增益!$A$2:$Q$40,SH22,MATCH(SI$8,增益!$B$1:$Q$1,0)+1)*$AI22</f>
        <v>0</v>
      </c>
      <c r="SJ22" s="2" cm="1">
        <f t="array" ref="SJ22">INDEX(增益!$A$2:$Q$40,SH22,MATCH(SJ$8,增益!$B$1:$Q$1,0)+1)*$AI22</f>
        <v>0</v>
      </c>
      <c r="SK22" s="2" cm="1">
        <f t="array" ref="SK22">INDEX(增益!$A$2:$Q$40,SH22,MATCH(SK$8,增益!$B$1:$Q$1,0)+1)*$AI22</f>
        <v>0</v>
      </c>
      <c r="SL22" s="2" cm="1">
        <f t="array" ref="SL22">INDEX(增益!$A$2:$Q$40,SH22,MATCH(SL$8,增益!$B$1:$Q$1,0)+1)*$AI22</f>
        <v>0</v>
      </c>
      <c r="SM22" s="2" cm="1">
        <f t="array" ref="SM22">INDEX(增益!$A$2:$Q$40,SH22,MATCH(SM$8,增益!$B$1:$Q$1,0)+1)*$AI22</f>
        <v>0</v>
      </c>
      <c r="SN22" s="2" cm="1">
        <f t="array" ref="SN22">INDEX(增益!$A$2:$Q$40,SH22,MATCH(SN$8,增益!$B$1:$Q$1,0)+1)*$AI22</f>
        <v>0</v>
      </c>
      <c r="SO22" s="2" cm="1">
        <f t="array" ref="SO22">INDEX(增益!$A$2:$Q$40,SH22,MATCH(SO$8,增益!$B$1:$Q$1,0)+1)*$AI22</f>
        <v>0</v>
      </c>
      <c r="SP22" s="2" cm="1">
        <f t="array" ref="SP22">INDEX(增益!$A$2:$Q$40,SH22,MATCH(SP$8,增益!$B$1:$Q$1,0)+1)*$AI22</f>
        <v>0</v>
      </c>
      <c r="SQ22" s="2" cm="1">
        <f t="array" ref="SQ22">INDEX(增益!$A$2:$Q$40,SH22,MATCH(SQ$8,增益!$B$1:$Q$1,0)+1)*$AI22</f>
        <v>0</v>
      </c>
      <c r="SR22" s="2" cm="1">
        <f t="array" ref="SR22">INDEX(增益!$A$2:$Q$40,SH22,MATCH(SR$8,增益!$B$1:$Q$1,0)+1)*$AI22</f>
        <v>0</v>
      </c>
      <c r="SY22" s="2" cm="1">
        <f t="array" ref="SY22">INDEX(增益!$A$2:$Q$40,SH22,MATCH(SY$8,增益!$B$1:$Q$1,0)+1)*$AI22</f>
        <v>0</v>
      </c>
      <c r="SZ22" s="2" cm="1">
        <f t="array" ref="SZ22">INDEX(增益!$A$2:$Q$40,SH22,MATCH(SZ$8,增益!$B$1:$Q$1,0)+1)*$AI22</f>
        <v>0</v>
      </c>
      <c r="TA22" s="2" cm="1">
        <f t="array" ref="TA22">INDEX(增益!$A$2:$Q$40,SH22,MATCH(TA$8,增益!$B$1:$Q$1,0)+1)*$AI22</f>
        <v>0</v>
      </c>
      <c r="TC22" s="2" cm="1">
        <f t="array" ref="TC22">INDEX(增益!$A$2:$Q$40,SH22,MATCH(TC$8,增益!$B$1:$Q$1,0)+1)*$AI22</f>
        <v>0</v>
      </c>
      <c r="TE22" s="2" cm="1">
        <f t="array" ref="TE22">INDEX(增益!$A$2:$Q$40,SH22,MATCH(TE$8,增益!$B$1:$Q$1,0)+1)*$AI22</f>
        <v>0</v>
      </c>
      <c r="TF22" s="2" cm="1">
        <f t="array" ref="TF22">INDEX(增益!$A$2:$Q$40,SH22,MATCH(TF$8,增益!$B$1:$Q$1,0)+1)*$AI22</f>
        <v>0</v>
      </c>
      <c r="TJ22" s="2" cm="1">
        <f t="array" ref="TJ22">INDEX(云配队!$J27:$AC27,1,TJ$1)</f>
        <v>0</v>
      </c>
      <c r="TK22" s="2">
        <f>IFERROR(MATCH(TJ22,增益!$A$2:$A$40,FALSE),1)</f>
        <v>1</v>
      </c>
      <c r="TL22" s="2" cm="1">
        <f t="array" ref="TL22">INDEX(增益!$A$2:$Q$40,TK22,MATCH(TL$8,增益!$B$1:$Q$1,0)+1)*$AI22</f>
        <v>0</v>
      </c>
      <c r="TM22" s="2" cm="1">
        <f t="array" ref="TM22">INDEX(增益!$A$2:$Q$40,TK22,MATCH(TM$8,增益!$B$1:$Q$1,0)+1)*$AI22</f>
        <v>0</v>
      </c>
      <c r="TN22" s="2" cm="1">
        <f t="array" ref="TN22">INDEX(增益!$A$2:$Q$40,TK22,MATCH(TN$8,增益!$B$1:$Q$1,0)+1)*$AI22</f>
        <v>0</v>
      </c>
      <c r="TO22" s="2" cm="1">
        <f t="array" ref="TO22">INDEX(增益!$A$2:$Q$40,TK22,MATCH(TO$8,增益!$B$1:$Q$1,0)+1)*$AI22</f>
        <v>0</v>
      </c>
      <c r="TP22" s="2" cm="1">
        <f t="array" ref="TP22">INDEX(增益!$A$2:$Q$40,TK22,MATCH(TP$8,增益!$B$1:$Q$1,0)+1)*$AI22</f>
        <v>0</v>
      </c>
      <c r="TQ22" s="2" cm="1">
        <f t="array" ref="TQ22">INDEX(增益!$A$2:$Q$40,TK22,MATCH(TQ$8,增益!$B$1:$Q$1,0)+1)*$AI22</f>
        <v>0</v>
      </c>
      <c r="TR22" s="2" cm="1">
        <f t="array" ref="TR22">INDEX(增益!$A$2:$Q$40,TK22,MATCH(TR$8,增益!$B$1:$Q$1,0)+1)*$AI22</f>
        <v>0</v>
      </c>
      <c r="TS22" s="2" cm="1">
        <f t="array" ref="TS22">INDEX(增益!$A$2:$Q$40,TK22,MATCH(TS$8,增益!$B$1:$Q$1,0)+1)*$AI22</f>
        <v>0</v>
      </c>
      <c r="TT22" s="2" cm="1">
        <f t="array" ref="TT22">INDEX(增益!$A$2:$Q$40,TK22,MATCH(TT$8,增益!$B$1:$Q$1,0)+1)*$AI22</f>
        <v>0</v>
      </c>
      <c r="TU22" s="2" cm="1">
        <f t="array" ref="TU22">INDEX(增益!$A$2:$Q$40,TK22,MATCH(TU$8,增益!$B$1:$Q$1,0)+1)*$AI22</f>
        <v>0</v>
      </c>
      <c r="UB22" s="2" cm="1">
        <f t="array" ref="UB22">INDEX(增益!$A$2:$Q$40,TK22,MATCH(UB$8,增益!$B$1:$Q$1,0)+1)*$AI22</f>
        <v>0</v>
      </c>
      <c r="UC22" s="2" cm="1">
        <f t="array" ref="UC22">INDEX(增益!$A$2:$Q$40,TK22,MATCH(UC$8,增益!$B$1:$Q$1,0)+1)*$AI22</f>
        <v>0</v>
      </c>
      <c r="UD22" s="2" cm="1">
        <f t="array" ref="UD22">INDEX(增益!$A$2:$Q$40,TK22,MATCH(UD$8,增益!$B$1:$Q$1,0)+1)*$AI22</f>
        <v>0</v>
      </c>
      <c r="UF22" s="2" cm="1">
        <f t="array" ref="UF22">INDEX(增益!$A$2:$Q$40,TK22,MATCH(UF$8,增益!$B$1:$Q$1,0)+1)*$AI22</f>
        <v>0</v>
      </c>
      <c r="UH22" s="2" cm="1">
        <f t="array" ref="UH22">INDEX(增益!$A$2:$Q$40,TK22,MATCH(UH$8,增益!$B$1:$Q$1,0)+1)*$AI22</f>
        <v>0</v>
      </c>
      <c r="UI22" s="2" cm="1">
        <f t="array" ref="UI22">INDEX(增益!$A$2:$Q$40,TK22,MATCH(UI$8,增益!$B$1:$Q$1,0)+1)*$AI22</f>
        <v>0</v>
      </c>
      <c r="UM22" s="2" t="str" cm="1">
        <f t="array" ref="UM22">INDEX(云配队!$J27:$AC27,1,UM$1)</f>
        <v>预备备开Q非普攻</v>
      </c>
      <c r="UN22" s="2">
        <f>IFERROR(MATCH(UM22,增益!$A$2:$A$40,FALSE),1)</f>
        <v>35</v>
      </c>
      <c r="UO22" s="2" cm="1">
        <f t="array" ref="UO22">INDEX(增益!$A$2:$Q$40,UN22,MATCH(UO$8,增益!$B$1:$Q$1,0)+1)*$AI22</f>
        <v>0</v>
      </c>
      <c r="UP22" s="2" cm="1">
        <f t="array" ref="UP22">INDEX(增益!$A$2:$Q$40,UN22,MATCH(UP$8,增益!$B$1:$Q$1,0)+1)*$AI22</f>
        <v>0</v>
      </c>
      <c r="UQ22" s="2" cm="1">
        <f t="array" ref="UQ22">INDEX(增益!$A$2:$Q$40,UN22,MATCH(UQ$8,增益!$B$1:$Q$1,0)+1)*$AI22</f>
        <v>0</v>
      </c>
      <c r="UR22" s="2" cm="1">
        <f t="array" ref="UR22">INDEX(增益!$A$2:$Q$40,UN22,MATCH(UR$8,增益!$B$1:$Q$1,0)+1)*$AI22</f>
        <v>0</v>
      </c>
      <c r="US22" s="2" cm="1">
        <f t="array" ref="US22">INDEX(增益!$A$2:$Q$40,UN22,MATCH(US$8,增益!$B$1:$Q$1,0)+1)*$AI22</f>
        <v>0</v>
      </c>
      <c r="UT22" s="2" cm="1">
        <f t="array" ref="UT22">INDEX(增益!$A$2:$Q$40,UN22,MATCH(UT$8,增益!$B$1:$Q$1,0)+1)*$AI22</f>
        <v>0</v>
      </c>
      <c r="UU22" s="2" cm="1">
        <f t="array" ref="UU22">INDEX(增益!$A$2:$Q$40,UN22,MATCH(UU$8,增益!$B$1:$Q$1,0)+1)*$AI22</f>
        <v>0</v>
      </c>
      <c r="UV22" s="2" cm="1">
        <f t="array" ref="UV22">INDEX(增益!$A$2:$Q$40,UN22,MATCH(UV$8,增益!$B$1:$Q$1,0)+1)*$AI22</f>
        <v>0</v>
      </c>
      <c r="UW22" s="2" cm="1">
        <f t="array" ref="UW22">INDEX(增益!$A$2:$Q$40,UN22,MATCH(UW$8,增益!$B$1:$Q$1,0)+1)*$AI22</f>
        <v>0</v>
      </c>
      <c r="UX22" s="2" cm="1">
        <f t="array" ref="UX22">INDEX(增益!$A$2:$Q$40,UN22,MATCH(UX$8,增益!$B$1:$Q$1,0)+1)*$AI22</f>
        <v>0</v>
      </c>
      <c r="VE22" s="2" cm="1">
        <f t="array" ref="VE22">INDEX(增益!$A$2:$Q$40,UN22,MATCH(VE$8,增益!$B$1:$Q$1,0)+1)*$AI22</f>
        <v>0.075</v>
      </c>
      <c r="VF22" s="2" cm="1">
        <f t="array" ref="VF22">INDEX(增益!$A$2:$Q$40,UN22,MATCH(VF$8,增益!$B$1:$Q$1,0)+1)*$AI22</f>
        <v>0</v>
      </c>
      <c r="VG22" s="2" cm="1">
        <f t="array" ref="VG22">INDEX(增益!$A$2:$Q$40,UN22,MATCH(VG$8,增益!$B$1:$Q$1,0)+1)*$AI22</f>
        <v>0</v>
      </c>
      <c r="VI22" s="2" cm="1">
        <f t="array" ref="VI22">INDEX(增益!$A$2:$Q$40,UN22,MATCH(VI$8,增益!$B$1:$Q$1,0)+1)*$AI22</f>
        <v>0</v>
      </c>
      <c r="VK22" s="2" cm="1">
        <f t="array" ref="VK22">INDEX(增益!$A$2:$Q$40,UN22,MATCH(VK$8,增益!$B$1:$Q$1,0)+1)*$AI22</f>
        <v>0</v>
      </c>
      <c r="VL22" s="2" cm="1">
        <f t="array" ref="VL22">INDEX(增益!$A$2:$Q$40,UN22,MATCH(VL$8,增益!$B$1:$Q$1,0)+1)*$AI22</f>
        <v>0</v>
      </c>
      <c r="VP22" s="2" cm="1">
        <f t="array" ref="VP22">INDEX(云配队!$J27:$AC27,1,VP$1)</f>
        <v>0</v>
      </c>
      <c r="VQ22" s="2">
        <f>IFERROR(MATCH(VP22,增益!$A$2:$A$40,FALSE),1)</f>
        <v>1</v>
      </c>
      <c r="VR22" s="2" cm="1">
        <f t="array" ref="VR22">INDEX(增益!$A$2:$Q$40,VQ22,MATCH(VR$8,增益!$B$1:$Q$1,0)+1)*$AI22</f>
        <v>0</v>
      </c>
      <c r="VS22" s="2" cm="1">
        <f t="array" ref="VS22">INDEX(增益!$A$2:$Q$40,VQ22,MATCH(VS$8,增益!$B$1:$Q$1,0)+1)*$AI22</f>
        <v>0</v>
      </c>
      <c r="VT22" s="2" cm="1">
        <f t="array" ref="VT22">INDEX(增益!$A$2:$Q$40,VQ22,MATCH(VT$8,增益!$B$1:$Q$1,0)+1)*$AI22</f>
        <v>0</v>
      </c>
      <c r="VU22" s="2" cm="1">
        <f t="array" ref="VU22">INDEX(增益!$A$2:$Q$40,VQ22,MATCH(VU$8,增益!$B$1:$Q$1,0)+1)*$AI22</f>
        <v>0</v>
      </c>
      <c r="VV22" s="2" cm="1">
        <f t="array" ref="VV22">INDEX(增益!$A$2:$Q$40,VQ22,MATCH(VV$8,增益!$B$1:$Q$1,0)+1)*$AI22</f>
        <v>0</v>
      </c>
      <c r="VW22" s="2" cm="1">
        <f t="array" ref="VW22">INDEX(增益!$A$2:$Q$40,VQ22,MATCH(VW$8,增益!$B$1:$Q$1,0)+1)*$AI22</f>
        <v>0</v>
      </c>
      <c r="VX22" s="2" cm="1">
        <f t="array" ref="VX22">INDEX(增益!$A$2:$Q$40,VQ22,MATCH(VX$8,增益!$B$1:$Q$1,0)+1)*$AI22</f>
        <v>0</v>
      </c>
      <c r="VY22" s="2" cm="1">
        <f t="array" ref="VY22">INDEX(增益!$A$2:$Q$40,VQ22,MATCH(VY$8,增益!$B$1:$Q$1,0)+1)*$AI22</f>
        <v>0</v>
      </c>
      <c r="VZ22" s="2" cm="1">
        <f t="array" ref="VZ22">INDEX(增益!$A$2:$Q$40,VQ22,MATCH(VZ$8,增益!$B$1:$Q$1,0)+1)*$AI22</f>
        <v>0</v>
      </c>
      <c r="WA22" s="2" cm="1">
        <f t="array" ref="WA22">INDEX(增益!$A$2:$Q$40,VQ22,MATCH(WA$8,增益!$B$1:$Q$1,0)+1)*$AI22</f>
        <v>0</v>
      </c>
      <c r="WH22" s="2" cm="1">
        <f t="array" ref="WH22">INDEX(增益!$A$2:$Q$40,VQ22,MATCH(WH$8,增益!$B$1:$Q$1,0)+1)*$AI22</f>
        <v>0</v>
      </c>
      <c r="WI22" s="2" cm="1">
        <f t="array" ref="WI22">INDEX(增益!$A$2:$Q$40,VQ22,MATCH(WI$8,增益!$B$1:$Q$1,0)+1)*$AI22</f>
        <v>0</v>
      </c>
      <c r="WJ22" s="2" cm="1">
        <f t="array" ref="WJ22">INDEX(增益!$A$2:$Q$40,VQ22,MATCH(WJ$8,增益!$B$1:$Q$1,0)+1)*$AI22</f>
        <v>0</v>
      </c>
      <c r="WL22" s="2" cm="1">
        <f t="array" ref="WL22">INDEX(增益!$A$2:$Q$40,VQ22,MATCH(WL$8,增益!$B$1:$Q$1,0)+1)*$AI22</f>
        <v>0</v>
      </c>
      <c r="WN22" s="2" cm="1">
        <f t="array" ref="WN22">INDEX(增益!$A$2:$Q$40,VQ22,MATCH(WN$8,增益!$B$1:$Q$1,0)+1)*$AI22</f>
        <v>0</v>
      </c>
      <c r="WO22" s="2" cm="1">
        <f t="array" ref="WO22">INDEX(增益!$A$2:$Q$40,VQ22,MATCH(WO$8,增益!$B$1:$Q$1,0)+1)*$AI22</f>
        <v>0</v>
      </c>
    </row>
    <row r="23" spans="35:616">
      <c r="AI23" s="2">
        <f>IF(云配队!H28&gt;0,云配队!H28,1)</f>
        <v>1</v>
      </c>
      <c r="AK23" s="2" cm="1">
        <f t="array" ref="AK23">INDEX(云配队!$J28:$AC28,1,AK$1)</f>
        <v>0</v>
      </c>
      <c r="AL23" s="2">
        <f>IFERROR(MATCH(AK23,增益!$A$2:$A$40,FALSE),1)</f>
        <v>1</v>
      </c>
      <c r="AM23" s="2" cm="1">
        <f t="array" ref="AM23">INDEX(增益!$A$2:$Q$40,AL23,MATCH(AM$8,增益!$B$1:$Q$1,0)+1)*$AI23</f>
        <v>0</v>
      </c>
      <c r="AN23" s="2" cm="1">
        <f t="array" ref="AN23">INDEX(增益!$A$2:$Q$40,AL23,MATCH(AN$8,增益!$B$1:$Q$1,0)+1)*$AI23</f>
        <v>0</v>
      </c>
      <c r="AO23" s="2" cm="1">
        <f t="array" ref="AO23">INDEX(增益!$A$2:$Q$40,AL23,MATCH(AO$8,增益!$B$1:$Q$1,0)+1)*$AI23</f>
        <v>0</v>
      </c>
      <c r="AP23" s="2" cm="1">
        <f t="array" ref="AP23">INDEX(增益!$A$2:$Q$40,AL23,MATCH(AP$8,增益!$B$1:$Q$1,0)+1)*$AI23</f>
        <v>0</v>
      </c>
      <c r="AQ23" s="2" cm="1">
        <f t="array" ref="AQ23">INDEX(增益!$A$2:$Q$40,AL23,MATCH(AQ$8,增益!$B$1:$Q$1,0)+1)*$AI23</f>
        <v>0</v>
      </c>
      <c r="AR23" s="2" cm="1">
        <f t="array" ref="AR23">INDEX(增益!$A$2:$Q$40,AL23,MATCH(AR$8,增益!$B$1:$Q$1,0)+1)*$AI23</f>
        <v>0</v>
      </c>
      <c r="AS23" s="2" cm="1">
        <f t="array" ref="AS23">INDEX(增益!$A$2:$Q$40,AL23,MATCH(AS$8,增益!$B$1:$Q$1,0)+1)*$AI23</f>
        <v>0</v>
      </c>
      <c r="AT23" s="2" cm="1">
        <f t="array" ref="AT23">INDEX(增益!$A$2:$Q$40,AL23,MATCH(AT$8,增益!$B$1:$Q$1,0)+1)*$AI23</f>
        <v>0</v>
      </c>
      <c r="AU23" s="2" cm="1">
        <f t="array" ref="AU23">INDEX(增益!$A$2:$Q$40,AL23,MATCH(AU$8,增益!$B$1:$Q$1,0)+1)*$AI23</f>
        <v>0</v>
      </c>
      <c r="AV23" s="2" cm="1">
        <f t="array" ref="AV23">INDEX(增益!$A$2:$Q$40,AL23,MATCH(AV$8,增益!$B$1:$Q$1,0)+1)*$AI23</f>
        <v>0</v>
      </c>
      <c r="BC23" s="2" cm="1">
        <f t="array" ref="BC23">INDEX(增益!$A$2:$Q$40,AL23,MATCH(BC$8,增益!$B$1:$Q$1,0)+1)*$AI23</f>
        <v>0</v>
      </c>
      <c r="BD23" s="2" cm="1">
        <f t="array" ref="BD23">INDEX(增益!$A$2:$Q$40,AL23,MATCH(BD$8,增益!$B$1:$Q$1,0)+1)*$AI23</f>
        <v>0</v>
      </c>
      <c r="BE23" s="2" cm="1">
        <f t="array" ref="BE23">INDEX(增益!$A$2:$Q$40,AL23,MATCH(BE$8,增益!$B$1:$Q$1,0)+1)*$AI23</f>
        <v>0</v>
      </c>
      <c r="BG23" s="2" cm="1">
        <f t="array" ref="BG23">INDEX(增益!$A$2:$Q$40,AL23,MATCH(BG$8,增益!$B$1:$Q$1,0)+1)*$AI23</f>
        <v>0</v>
      </c>
      <c r="BI23" s="2" cm="1">
        <f t="array" ref="BI23">INDEX(增益!$A$2:$Q$40,AL23,MATCH(BI$8,增益!$B$1:$Q$1,0)+1)*$AI23</f>
        <v>0</v>
      </c>
      <c r="BJ23" s="2" cm="1">
        <f t="array" ref="BJ23">INDEX(增益!$A$2:$Q$40,AL23,MATCH(BJ$8,增益!$B$1:$Q$1,0)+1)*$AI23</f>
        <v>0</v>
      </c>
      <c r="BN23" s="2" cm="1">
        <f t="array" ref="BN23">INDEX(云配队!$J28:$AC28,1,BN$1)</f>
        <v>0</v>
      </c>
      <c r="BO23" s="2">
        <f>IFERROR(MATCH(BN23,增益!$A$2:$A$40,FALSE),1)</f>
        <v>1</v>
      </c>
      <c r="BP23" s="2" cm="1">
        <f t="array" ref="BP23">INDEX(增益!$A$2:$Q$40,BO23,MATCH(BP$8,增益!$B$1:$Q$1,0)+1)*$AI23</f>
        <v>0</v>
      </c>
      <c r="BQ23" s="2" cm="1">
        <f t="array" ref="BQ23">INDEX(增益!$A$2:$Q$40,BO23,MATCH(BQ$8,增益!$B$1:$Q$1,0)+1)*$AI23</f>
        <v>0</v>
      </c>
      <c r="BR23" s="2" cm="1">
        <f t="array" ref="BR23">INDEX(增益!$A$2:$Q$40,BO23,MATCH(BR$8,增益!$B$1:$Q$1,0)+1)*$AI23</f>
        <v>0</v>
      </c>
      <c r="BS23" s="2" cm="1">
        <f t="array" ref="BS23">INDEX(增益!$A$2:$Q$40,BO23,MATCH(BS$8,增益!$B$1:$Q$1,0)+1)*$AI23</f>
        <v>0</v>
      </c>
      <c r="BT23" s="2" cm="1">
        <f t="array" ref="BT23">INDEX(增益!$A$2:$Q$40,BO23,MATCH(BT$8,增益!$B$1:$Q$1,0)+1)*$AI23</f>
        <v>0</v>
      </c>
      <c r="BU23" s="2" cm="1">
        <f t="array" ref="BU23">INDEX(增益!$A$2:$Q$40,BO23,MATCH(BU$8,增益!$B$1:$Q$1,0)+1)*$AI23</f>
        <v>0</v>
      </c>
      <c r="BV23" s="2" cm="1">
        <f t="array" ref="BV23">INDEX(增益!$A$2:$Q$40,BO23,MATCH(BV$8,增益!$B$1:$Q$1,0)+1)*$AI23</f>
        <v>0</v>
      </c>
      <c r="BW23" s="2" cm="1">
        <f t="array" ref="BW23">INDEX(增益!$A$2:$Q$40,BO23,MATCH(BW$8,增益!$B$1:$Q$1,0)+1)*$AI23</f>
        <v>0</v>
      </c>
      <c r="BX23" s="2" cm="1">
        <f t="array" ref="BX23">INDEX(增益!$A$2:$Q$40,BO23,MATCH(BX$8,增益!$B$1:$Q$1,0)+1)*$AI23</f>
        <v>0</v>
      </c>
      <c r="BY23" s="2" cm="1">
        <f t="array" ref="BY23">INDEX(增益!$A$2:$Q$40,BO23,MATCH(BY$8,增益!$B$1:$Q$1,0)+1)*$AI23</f>
        <v>0</v>
      </c>
      <c r="CF23" s="2" cm="1">
        <f t="array" ref="CF23">INDEX(增益!$A$2:$Q$40,BO23,MATCH(CF$8,增益!$B$1:$Q$1,0)+1)*$AI23</f>
        <v>0</v>
      </c>
      <c r="CG23" s="2" cm="1">
        <f t="array" ref="CG23">INDEX(增益!$A$2:$Q$40,BO23,MATCH(CG$8,增益!$B$1:$Q$1,0)+1)*$AI23</f>
        <v>0</v>
      </c>
      <c r="CH23" s="2" cm="1">
        <f t="array" ref="CH23">INDEX(增益!$A$2:$Q$40,BO23,MATCH(CH$8,增益!$B$1:$Q$1,0)+1)*$AI23</f>
        <v>0</v>
      </c>
      <c r="CJ23" s="2" cm="1">
        <f t="array" ref="CJ23">INDEX(增益!$A$2:$Q$40,BO23,MATCH(CJ$8,增益!$B$1:$Q$1,0)+1)*$AI23</f>
        <v>0</v>
      </c>
      <c r="CL23" s="2" cm="1">
        <f t="array" ref="CL23">INDEX(增益!$A$2:$Q$40,BO23,MATCH(CL$8,增益!$B$1:$Q$1,0)+1)*$AI23</f>
        <v>0</v>
      </c>
      <c r="CM23" s="2" cm="1">
        <f t="array" ref="CM23">INDEX(增益!$A$2:$Q$40,BO23,MATCH(CM$8,增益!$B$1:$Q$1,0)+1)*$AI23</f>
        <v>0</v>
      </c>
      <c r="CQ23" s="2" cm="1">
        <f t="array" ref="CQ23">INDEX(云配队!$J28:$AC28,1,CQ$1)</f>
        <v>0</v>
      </c>
      <c r="CR23" s="2">
        <f>IFERROR(MATCH(CQ23,增益!$A$2:$A$40,FALSE),1)</f>
        <v>1</v>
      </c>
      <c r="CS23" s="2" cm="1">
        <f t="array" ref="CS23">INDEX(增益!$A$2:$Q$40,CR23,MATCH(CS$8,增益!$B$1:$Q$1,0)+1)*$AI23</f>
        <v>0</v>
      </c>
      <c r="CT23" s="2" cm="1">
        <f t="array" ref="CT23">INDEX(增益!$A$2:$Q$40,CR23,MATCH(CT$8,增益!$B$1:$Q$1,0)+1)*$AI23</f>
        <v>0</v>
      </c>
      <c r="CU23" s="2" cm="1">
        <f t="array" ref="CU23">INDEX(增益!$A$2:$Q$40,CR23,MATCH(CU$8,增益!$B$1:$Q$1,0)+1)*$AI23</f>
        <v>0</v>
      </c>
      <c r="CV23" s="2" cm="1">
        <f t="array" ref="CV23">INDEX(增益!$A$2:$Q$40,CR23,MATCH(CV$8,增益!$B$1:$Q$1,0)+1)*$AI23</f>
        <v>0</v>
      </c>
      <c r="CW23" s="2" cm="1">
        <f t="array" ref="CW23">INDEX(增益!$A$2:$Q$40,CR23,MATCH(CW$8,增益!$B$1:$Q$1,0)+1)*$AI23</f>
        <v>0</v>
      </c>
      <c r="CX23" s="2" cm="1">
        <f t="array" ref="CX23">INDEX(增益!$A$2:$Q$40,CR23,MATCH(CX$8,增益!$B$1:$Q$1,0)+1)*$AI23</f>
        <v>0</v>
      </c>
      <c r="CY23" s="2" cm="1">
        <f t="array" ref="CY23">INDEX(增益!$A$2:$Q$40,CR23,MATCH(CY$8,增益!$B$1:$Q$1,0)+1)*$AI23</f>
        <v>0</v>
      </c>
      <c r="CZ23" s="2" cm="1">
        <f t="array" ref="CZ23">INDEX(增益!$A$2:$Q$40,CR23,MATCH(CZ$8,增益!$B$1:$Q$1,0)+1)*$AI23</f>
        <v>0</v>
      </c>
      <c r="DA23" s="2" cm="1">
        <f t="array" ref="DA23">INDEX(增益!$A$2:$Q$40,CR23,MATCH(DA$8,增益!$B$1:$Q$1,0)+1)*$AI23</f>
        <v>0</v>
      </c>
      <c r="DB23" s="2" cm="1">
        <f t="array" ref="DB23">INDEX(增益!$A$2:$Q$40,CR23,MATCH(DB$8,增益!$B$1:$Q$1,0)+1)*$AI23</f>
        <v>0</v>
      </c>
      <c r="DI23" s="2" cm="1">
        <f t="array" ref="DI23">INDEX(增益!$A$2:$Q$40,CR23,MATCH(DI$8,增益!$B$1:$Q$1,0)+1)*$AI23</f>
        <v>0</v>
      </c>
      <c r="DJ23" s="2" cm="1">
        <f t="array" ref="DJ23">INDEX(增益!$A$2:$Q$40,CR23,MATCH(DJ$8,增益!$B$1:$Q$1,0)+1)*$AI23</f>
        <v>0</v>
      </c>
      <c r="DK23" s="2" cm="1">
        <f t="array" ref="DK23">INDEX(增益!$A$2:$Q$40,CR23,MATCH(DK$8,增益!$B$1:$Q$1,0)+1)*$AI23</f>
        <v>0</v>
      </c>
      <c r="DM23" s="2" cm="1">
        <f t="array" ref="DM23">INDEX(增益!$A$2:$Q$40,CR23,MATCH(DM$8,增益!$B$1:$Q$1,0)+1)*$AI23</f>
        <v>0</v>
      </c>
      <c r="DO23" s="2" cm="1">
        <f t="array" ref="DO23">INDEX(增益!$A$2:$Q$40,CR23,MATCH(DO$8,增益!$B$1:$Q$1,0)+1)*$AI23</f>
        <v>0</v>
      </c>
      <c r="DP23" s="2" cm="1">
        <f t="array" ref="DP23">INDEX(增益!$A$2:$Q$40,CR23,MATCH(DP$8,增益!$B$1:$Q$1,0)+1)*$AI23</f>
        <v>0</v>
      </c>
      <c r="DT23" s="2" cm="1">
        <f t="array" ref="DT23">INDEX(云配队!$J28:$AC28,1,DT$1)</f>
        <v>0</v>
      </c>
      <c r="DU23" s="2">
        <f>IFERROR(MATCH(DT23,增益!$A$2:$A$40,FALSE),1)</f>
        <v>1</v>
      </c>
      <c r="DV23" s="2" cm="1">
        <f t="array" ref="DV23">INDEX(增益!$A$2:$Q$40,DU23,MATCH(DV$8,增益!$B$1:$Q$1,0)+1)*$AI23</f>
        <v>0</v>
      </c>
      <c r="DW23" s="2" cm="1">
        <f t="array" ref="DW23">INDEX(增益!$A$2:$Q$40,DU23,MATCH(DW$8,增益!$B$1:$Q$1,0)+1)*$AI23</f>
        <v>0</v>
      </c>
      <c r="DX23" s="2" cm="1">
        <f t="array" ref="DX23">INDEX(增益!$A$2:$Q$40,DU23,MATCH(DX$8,增益!$B$1:$Q$1,0)+1)*$AI23</f>
        <v>0</v>
      </c>
      <c r="DY23" s="2" cm="1">
        <f t="array" ref="DY23">INDEX(增益!$A$2:$Q$40,DU23,MATCH(DY$8,增益!$B$1:$Q$1,0)+1)*$AI23</f>
        <v>0</v>
      </c>
      <c r="DZ23" s="2" cm="1">
        <f t="array" ref="DZ23">INDEX(增益!$A$2:$Q$40,DU23,MATCH(DZ$8,增益!$B$1:$Q$1,0)+1)*$AI23</f>
        <v>0</v>
      </c>
      <c r="EA23" s="2" cm="1">
        <f t="array" ref="EA23">INDEX(增益!$A$2:$Q$40,DU23,MATCH(EA$8,增益!$B$1:$Q$1,0)+1)*$AI23</f>
        <v>0</v>
      </c>
      <c r="EB23" s="2" cm="1">
        <f t="array" ref="EB23">INDEX(增益!$A$2:$Q$40,DU23,MATCH(EB$8,增益!$B$1:$Q$1,0)+1)*$AI23</f>
        <v>0</v>
      </c>
      <c r="EC23" s="2" cm="1">
        <f t="array" ref="EC23">INDEX(增益!$A$2:$Q$40,DU23,MATCH(EC$8,增益!$B$1:$Q$1,0)+1)*$AI23</f>
        <v>0</v>
      </c>
      <c r="ED23" s="2" cm="1">
        <f t="array" ref="ED23">INDEX(增益!$A$2:$Q$40,DU23,MATCH(ED$8,增益!$B$1:$Q$1,0)+1)*$AI23</f>
        <v>0</v>
      </c>
      <c r="EE23" s="2" cm="1">
        <f t="array" ref="EE23">INDEX(增益!$A$2:$Q$40,DU23,MATCH(EE$8,增益!$B$1:$Q$1,0)+1)*$AI23</f>
        <v>0</v>
      </c>
      <c r="EL23" s="2" cm="1">
        <f t="array" ref="EL23">INDEX(增益!$A$2:$Q$40,DU23,MATCH(EL$8,增益!$B$1:$Q$1,0)+1)*$AI23</f>
        <v>0</v>
      </c>
      <c r="EM23" s="2" cm="1">
        <f t="array" ref="EM23">INDEX(增益!$A$2:$Q$40,DU23,MATCH(EM$8,增益!$B$1:$Q$1,0)+1)*$AI23</f>
        <v>0</v>
      </c>
      <c r="EN23" s="2" cm="1">
        <f t="array" ref="EN23">INDEX(增益!$A$2:$Q$40,DU23,MATCH(EN$8,增益!$B$1:$Q$1,0)+1)*$AI23</f>
        <v>0</v>
      </c>
      <c r="EP23" s="2" cm="1">
        <f t="array" ref="EP23">INDEX(增益!$A$2:$Q$40,DU23,MATCH(EP$8,增益!$B$1:$Q$1,0)+1)*$AI23</f>
        <v>0</v>
      </c>
      <c r="ER23" s="2" cm="1">
        <f t="array" ref="ER23">INDEX(增益!$A$2:$Q$40,DU23,MATCH(ER$8,增益!$B$1:$Q$1,0)+1)*$AI23</f>
        <v>0</v>
      </c>
      <c r="ES23" s="2" cm="1">
        <f t="array" ref="ES23">INDEX(增益!$A$2:$Q$40,DU23,MATCH(ES$8,增益!$B$1:$Q$1,0)+1)*$AI23</f>
        <v>0</v>
      </c>
      <c r="EW23" s="2" cm="1">
        <f t="array" ref="EW23">INDEX(云配队!$J28:$AC28,1,EW$1)</f>
        <v>0</v>
      </c>
      <c r="EX23" s="2">
        <f>IFERROR(MATCH(EW23,增益!$A$2:$A$40,FALSE),1)</f>
        <v>1</v>
      </c>
      <c r="EY23" s="2" cm="1">
        <f t="array" ref="EY23">INDEX(增益!$A$2:$Q$40,EX23,MATCH(EY$8,增益!$B$1:$Q$1,0)+1)*$AI23</f>
        <v>0</v>
      </c>
      <c r="EZ23" s="2" cm="1">
        <f t="array" ref="EZ23">INDEX(增益!$A$2:$Q$40,EX23,MATCH(EZ$8,增益!$B$1:$Q$1,0)+1)*$AI23</f>
        <v>0</v>
      </c>
      <c r="FA23" s="2" cm="1">
        <f t="array" ref="FA23">INDEX(增益!$A$2:$Q$40,EX23,MATCH(FA$8,增益!$B$1:$Q$1,0)+1)*$AI23</f>
        <v>0</v>
      </c>
      <c r="FB23" s="2" cm="1">
        <f t="array" ref="FB23">INDEX(增益!$A$2:$Q$40,EX23,MATCH(FB$8,增益!$B$1:$Q$1,0)+1)*$AI23</f>
        <v>0</v>
      </c>
      <c r="FC23" s="2" cm="1">
        <f t="array" ref="FC23">INDEX(增益!$A$2:$Q$40,EX23,MATCH(FC$8,增益!$B$1:$Q$1,0)+1)*$AI23</f>
        <v>0</v>
      </c>
      <c r="FD23" s="2" cm="1">
        <f t="array" ref="FD23">INDEX(增益!$A$2:$Q$40,EX23,MATCH(FD$8,增益!$B$1:$Q$1,0)+1)*$AI23</f>
        <v>0</v>
      </c>
      <c r="FE23" s="2" cm="1">
        <f t="array" ref="FE23">INDEX(增益!$A$2:$Q$40,EX23,MATCH(FE$8,增益!$B$1:$Q$1,0)+1)*$AI23</f>
        <v>0</v>
      </c>
      <c r="FF23" s="2" cm="1">
        <f t="array" ref="FF23">INDEX(增益!$A$2:$Q$40,EX23,MATCH(FF$8,增益!$B$1:$Q$1,0)+1)*$AI23</f>
        <v>0</v>
      </c>
      <c r="FG23" s="2" cm="1">
        <f t="array" ref="FG23">INDEX(增益!$A$2:$Q$40,EX23,MATCH(FG$8,增益!$B$1:$Q$1,0)+1)*$AI23</f>
        <v>0</v>
      </c>
      <c r="FH23" s="2" cm="1">
        <f t="array" ref="FH23">INDEX(增益!$A$2:$Q$40,EX23,MATCH(FH$8,增益!$B$1:$Q$1,0)+1)*$AI23</f>
        <v>0</v>
      </c>
      <c r="FO23" s="2" cm="1">
        <f t="array" ref="FO23">INDEX(增益!$A$2:$Q$40,EX23,MATCH(FO$8,增益!$B$1:$Q$1,0)+1)*$AI23</f>
        <v>0</v>
      </c>
      <c r="FP23" s="2" cm="1">
        <f t="array" ref="FP23">INDEX(增益!$A$2:$Q$40,EX23,MATCH(FP$8,增益!$B$1:$Q$1,0)+1)*$AI23</f>
        <v>0</v>
      </c>
      <c r="FQ23" s="2" cm="1">
        <f t="array" ref="FQ23">INDEX(增益!$A$2:$Q$40,EX23,MATCH(FQ$8,增益!$B$1:$Q$1,0)+1)*$AI23</f>
        <v>0</v>
      </c>
      <c r="FS23" s="2" cm="1">
        <f t="array" ref="FS23">INDEX(增益!$A$2:$Q$40,EX23,MATCH(FS$8,增益!$B$1:$Q$1,0)+1)*$AI23</f>
        <v>0</v>
      </c>
      <c r="FU23" s="2" cm="1">
        <f t="array" ref="FU23">INDEX(增益!$A$2:$Q$40,EX23,MATCH(FU$8,增益!$B$1:$Q$1,0)+1)*$AI23</f>
        <v>0</v>
      </c>
      <c r="FV23" s="2" cm="1">
        <f t="array" ref="FV23">INDEX(增益!$A$2:$Q$40,EX23,MATCH(FV$8,增益!$B$1:$Q$1,0)+1)*$AI23</f>
        <v>0</v>
      </c>
      <c r="FZ23" s="2" cm="1">
        <f t="array" ref="FZ23">INDEX(云配队!$J28:$AC28,1,FZ$1)</f>
        <v>0</v>
      </c>
      <c r="GA23" s="2">
        <f>IFERROR(MATCH(FZ23,增益!$A$2:$A$40,FALSE),1)</f>
        <v>1</v>
      </c>
      <c r="GB23" s="2" cm="1">
        <f t="array" ref="GB23">INDEX(增益!$A$2:$Q$40,GA23,MATCH(GB$8,增益!$B$1:$Q$1,0)+1)*$AI23</f>
        <v>0</v>
      </c>
      <c r="GC23" s="2" cm="1">
        <f t="array" ref="GC23">INDEX(增益!$A$2:$Q$40,GA23,MATCH(GC$8,增益!$B$1:$Q$1,0)+1)*$AI23</f>
        <v>0</v>
      </c>
      <c r="GD23" s="2" cm="1">
        <f t="array" ref="GD23">INDEX(增益!$A$2:$Q$40,GA23,MATCH(GD$8,增益!$B$1:$Q$1,0)+1)*$AI23</f>
        <v>0</v>
      </c>
      <c r="GE23" s="2" cm="1">
        <f t="array" ref="GE23">INDEX(增益!$A$2:$Q$40,GA23,MATCH(GE$8,增益!$B$1:$Q$1,0)+1)*$AI23</f>
        <v>0</v>
      </c>
      <c r="GF23" s="2" cm="1">
        <f t="array" ref="GF23">INDEX(增益!$A$2:$Q$40,GA23,MATCH(GF$8,增益!$B$1:$Q$1,0)+1)*$AI23</f>
        <v>0</v>
      </c>
      <c r="GG23" s="2" cm="1">
        <f t="array" ref="GG23">INDEX(增益!$A$2:$Q$40,GA23,MATCH(GG$8,增益!$B$1:$Q$1,0)+1)*$AI23</f>
        <v>0</v>
      </c>
      <c r="GH23" s="2" cm="1">
        <f t="array" ref="GH23">INDEX(增益!$A$2:$Q$40,GA23,MATCH(GH$8,增益!$B$1:$Q$1,0)+1)*$AI23</f>
        <v>0</v>
      </c>
      <c r="GI23" s="2" cm="1">
        <f t="array" ref="GI23">INDEX(增益!$A$2:$Q$40,GA23,MATCH(GI$8,增益!$B$1:$Q$1,0)+1)*$AI23</f>
        <v>0</v>
      </c>
      <c r="GJ23" s="2" cm="1">
        <f t="array" ref="GJ23">INDEX(增益!$A$2:$Q$40,GA23,MATCH(GJ$8,增益!$B$1:$Q$1,0)+1)*$AI23</f>
        <v>0</v>
      </c>
      <c r="GK23" s="2" cm="1">
        <f t="array" ref="GK23">INDEX(增益!$A$2:$Q$40,GA23,MATCH(GK$8,增益!$B$1:$Q$1,0)+1)*$AI23</f>
        <v>0</v>
      </c>
      <c r="GR23" s="2" cm="1">
        <f t="array" ref="GR23">INDEX(增益!$A$2:$Q$40,GA23,MATCH(GR$8,增益!$B$1:$Q$1,0)+1)*$AI23</f>
        <v>0</v>
      </c>
      <c r="GS23" s="2" cm="1">
        <f t="array" ref="GS23">INDEX(增益!$A$2:$Q$40,GA23,MATCH(GS$8,增益!$B$1:$Q$1,0)+1)*$AI23</f>
        <v>0</v>
      </c>
      <c r="GT23" s="2" cm="1">
        <f t="array" ref="GT23">INDEX(增益!$A$2:$Q$40,GA23,MATCH(GT$8,增益!$B$1:$Q$1,0)+1)*$AI23</f>
        <v>0</v>
      </c>
      <c r="GV23" s="2" cm="1">
        <f t="array" ref="GV23">INDEX(增益!$A$2:$Q$40,GA23,MATCH(GV$8,增益!$B$1:$Q$1,0)+1)*$AI23</f>
        <v>0</v>
      </c>
      <c r="GX23" s="2" cm="1">
        <f t="array" ref="GX23">INDEX(增益!$A$2:$Q$40,GA23,MATCH(GX$8,增益!$B$1:$Q$1,0)+1)*$AI23</f>
        <v>0</v>
      </c>
      <c r="GY23" s="2" cm="1">
        <f t="array" ref="GY23">INDEX(增益!$A$2:$Q$40,GA23,MATCH(GY$8,增益!$B$1:$Q$1,0)+1)*$AI23</f>
        <v>0</v>
      </c>
      <c r="HC23" s="2" cm="1">
        <f t="array" ref="HC23">INDEX(云配队!$J28:$AC28,1,HC$1)</f>
        <v>0</v>
      </c>
      <c r="HD23" s="2">
        <f>IFERROR(MATCH(HC23,增益!$A$2:$A$40,FALSE),1)</f>
        <v>1</v>
      </c>
      <c r="HE23" s="2" cm="1">
        <f t="array" ref="HE23">INDEX(增益!$A$2:$Q$40,HD23,MATCH(HE$8,增益!$B$1:$Q$1,0)+1)*$AI23</f>
        <v>0</v>
      </c>
      <c r="HF23" s="2" cm="1">
        <f t="array" ref="HF23">INDEX(增益!$A$2:$Q$40,HD23,MATCH(HF$8,增益!$B$1:$Q$1,0)+1)*$AI23</f>
        <v>0</v>
      </c>
      <c r="HG23" s="2" cm="1">
        <f t="array" ref="HG23">INDEX(增益!$A$2:$Q$40,HD23,MATCH(HG$8,增益!$B$1:$Q$1,0)+1)*$AI23</f>
        <v>0</v>
      </c>
      <c r="HH23" s="2" cm="1">
        <f t="array" ref="HH23">INDEX(增益!$A$2:$Q$40,HD23,MATCH(HH$8,增益!$B$1:$Q$1,0)+1)*$AI23</f>
        <v>0</v>
      </c>
      <c r="HI23" s="2" cm="1">
        <f t="array" ref="HI23">INDEX(增益!$A$2:$Q$40,HD23,MATCH(HI$8,增益!$B$1:$Q$1,0)+1)*$AI23</f>
        <v>0</v>
      </c>
      <c r="HJ23" s="2" cm="1">
        <f t="array" ref="HJ23">INDEX(增益!$A$2:$Q$40,HD23,MATCH(HJ$8,增益!$B$1:$Q$1,0)+1)*$AI23</f>
        <v>0</v>
      </c>
      <c r="HK23" s="2" cm="1">
        <f t="array" ref="HK23">INDEX(增益!$A$2:$Q$40,HD23,MATCH(HK$8,增益!$B$1:$Q$1,0)+1)*$AI23</f>
        <v>0</v>
      </c>
      <c r="HL23" s="2" cm="1">
        <f t="array" ref="HL23">INDEX(增益!$A$2:$Q$40,HD23,MATCH(HL$8,增益!$B$1:$Q$1,0)+1)*$AI23</f>
        <v>0</v>
      </c>
      <c r="HM23" s="2" cm="1">
        <f t="array" ref="HM23">INDEX(增益!$A$2:$Q$40,HD23,MATCH(HM$8,增益!$B$1:$Q$1,0)+1)*$AI23</f>
        <v>0</v>
      </c>
      <c r="HN23" s="2" cm="1">
        <f t="array" ref="HN23">INDEX(增益!$A$2:$Q$40,HD23,MATCH(HN$8,增益!$B$1:$Q$1,0)+1)*$AI23</f>
        <v>0</v>
      </c>
      <c r="HU23" s="2" cm="1">
        <f t="array" ref="HU23">INDEX(增益!$A$2:$Q$40,HD23,MATCH(HU$8,增益!$B$1:$Q$1,0)+1)*$AI23</f>
        <v>0</v>
      </c>
      <c r="HV23" s="2" cm="1">
        <f t="array" ref="HV23">INDEX(增益!$A$2:$Q$40,HD23,MATCH(HV$8,增益!$B$1:$Q$1,0)+1)*$AI23</f>
        <v>0</v>
      </c>
      <c r="HW23" s="2" cm="1">
        <f t="array" ref="HW23">INDEX(增益!$A$2:$Q$40,HD23,MATCH(HW$8,增益!$B$1:$Q$1,0)+1)*$AI23</f>
        <v>0</v>
      </c>
      <c r="HY23" s="2" cm="1">
        <f t="array" ref="HY23">INDEX(增益!$A$2:$Q$40,HD23,MATCH(HY$8,增益!$B$1:$Q$1,0)+1)*$AI23</f>
        <v>0</v>
      </c>
      <c r="IA23" s="2" cm="1">
        <f t="array" ref="IA23">INDEX(增益!$A$2:$Q$40,HD23,MATCH(IA$8,增益!$B$1:$Q$1,0)+1)*$AI23</f>
        <v>0</v>
      </c>
      <c r="IB23" s="2" cm="1">
        <f t="array" ref="IB23">INDEX(增益!$A$2:$Q$40,HD23,MATCH(IB$8,增益!$B$1:$Q$1,0)+1)*$AI23</f>
        <v>0</v>
      </c>
      <c r="IF23" s="2" cm="1">
        <f t="array" ref="IF23">INDEX(云配队!$J28:$AC28,1,IF$1)</f>
        <v>0</v>
      </c>
      <c r="IG23" s="2">
        <f>IFERROR(MATCH(IF23,增益!$A$2:$A$40,FALSE),1)</f>
        <v>1</v>
      </c>
      <c r="IH23" s="2" cm="1">
        <f t="array" ref="IH23">INDEX(增益!$A$2:$Q$40,IG23,MATCH(IH$8,增益!$B$1:$Q$1,0)+1)*$AI23</f>
        <v>0</v>
      </c>
      <c r="II23" s="2" cm="1">
        <f t="array" ref="II23">INDEX(增益!$A$2:$Q$40,IG23,MATCH(II$8,增益!$B$1:$Q$1,0)+1)*$AI23</f>
        <v>0</v>
      </c>
      <c r="IJ23" s="2" cm="1">
        <f t="array" ref="IJ23">INDEX(增益!$A$2:$Q$40,IG23,MATCH(IJ$8,增益!$B$1:$Q$1,0)+1)*$AI23</f>
        <v>0</v>
      </c>
      <c r="IK23" s="2" cm="1">
        <f t="array" ref="IK23">INDEX(增益!$A$2:$Q$40,IG23,MATCH(IK$8,增益!$B$1:$Q$1,0)+1)*$AI23</f>
        <v>0</v>
      </c>
      <c r="IL23" s="2" cm="1">
        <f t="array" ref="IL23">INDEX(增益!$A$2:$Q$40,IG23,MATCH(IL$8,增益!$B$1:$Q$1,0)+1)*$AI23</f>
        <v>0</v>
      </c>
      <c r="IM23" s="2" cm="1">
        <f t="array" ref="IM23">INDEX(增益!$A$2:$Q$40,IG23,MATCH(IM$8,增益!$B$1:$Q$1,0)+1)*$AI23</f>
        <v>0</v>
      </c>
      <c r="IN23" s="2" cm="1">
        <f t="array" ref="IN23">INDEX(增益!$A$2:$Q$40,IG23,MATCH(IN$8,增益!$B$1:$Q$1,0)+1)*$AI23</f>
        <v>0</v>
      </c>
      <c r="IO23" s="2" cm="1">
        <f t="array" ref="IO23">INDEX(增益!$A$2:$Q$40,IG23,MATCH(IO$8,增益!$B$1:$Q$1,0)+1)*$AI23</f>
        <v>0</v>
      </c>
      <c r="IP23" s="2" cm="1">
        <f t="array" ref="IP23">INDEX(增益!$A$2:$Q$40,IG23,MATCH(IP$8,增益!$B$1:$Q$1,0)+1)*$AI23</f>
        <v>0</v>
      </c>
      <c r="IQ23" s="2" cm="1">
        <f t="array" ref="IQ23">INDEX(增益!$A$2:$Q$40,IG23,MATCH(IQ$8,增益!$B$1:$Q$1,0)+1)*$AI23</f>
        <v>0</v>
      </c>
      <c r="IX23" s="2" cm="1">
        <f t="array" ref="IX23">INDEX(增益!$A$2:$Q$40,IG23,MATCH(IX$8,增益!$B$1:$Q$1,0)+1)*$AI23</f>
        <v>0</v>
      </c>
      <c r="IY23" s="2" cm="1">
        <f t="array" ref="IY23">INDEX(增益!$A$2:$Q$40,IG23,MATCH(IY$8,增益!$B$1:$Q$1,0)+1)*$AI23</f>
        <v>0</v>
      </c>
      <c r="IZ23" s="2" cm="1">
        <f t="array" ref="IZ23">INDEX(增益!$A$2:$Q$40,IG23,MATCH(IZ$8,增益!$B$1:$Q$1,0)+1)*$AI23</f>
        <v>0</v>
      </c>
      <c r="JB23" s="2" cm="1">
        <f t="array" ref="JB23">INDEX(增益!$A$2:$Q$40,IG23,MATCH(JB$8,增益!$B$1:$Q$1,0)+1)*$AI23</f>
        <v>0</v>
      </c>
      <c r="JD23" s="2" cm="1">
        <f t="array" ref="JD23">INDEX(增益!$A$2:$Q$40,IG23,MATCH(JD$8,增益!$B$1:$Q$1,0)+1)*$AI23</f>
        <v>0</v>
      </c>
      <c r="JE23" s="2" cm="1">
        <f t="array" ref="JE23">INDEX(增益!$A$2:$Q$40,IG23,MATCH(JE$8,增益!$B$1:$Q$1,0)+1)*$AI23</f>
        <v>0</v>
      </c>
      <c r="JI23" s="2" cm="1">
        <f t="array" ref="JI23">INDEX(云配队!$J28:$AC28,1,JI$1)</f>
        <v>0</v>
      </c>
      <c r="JJ23" s="2">
        <f>IFERROR(MATCH(JI23,增益!$A$2:$A$40,FALSE),1)</f>
        <v>1</v>
      </c>
      <c r="JK23" s="2" cm="1">
        <f t="array" ref="JK23">INDEX(增益!$A$2:$Q$40,JJ23,MATCH(JK$8,增益!$B$1:$Q$1,0)+1)*$AI23</f>
        <v>0</v>
      </c>
      <c r="JL23" s="2" cm="1">
        <f t="array" ref="JL23">INDEX(增益!$A$2:$Q$40,JJ23,MATCH(JL$8,增益!$B$1:$Q$1,0)+1)*$AI23</f>
        <v>0</v>
      </c>
      <c r="JM23" s="2" cm="1">
        <f t="array" ref="JM23">INDEX(增益!$A$2:$Q$40,JJ23,MATCH(JM$8,增益!$B$1:$Q$1,0)+1)*$AI23</f>
        <v>0</v>
      </c>
      <c r="JN23" s="2" cm="1">
        <f t="array" ref="JN23">INDEX(增益!$A$2:$Q$40,JJ23,MATCH(JN$8,增益!$B$1:$Q$1,0)+1)*$AI23</f>
        <v>0</v>
      </c>
      <c r="JO23" s="2" cm="1">
        <f t="array" ref="JO23">INDEX(增益!$A$2:$Q$40,JJ23,MATCH(JO$8,增益!$B$1:$Q$1,0)+1)*$AI23</f>
        <v>0</v>
      </c>
      <c r="JP23" s="2" cm="1">
        <f t="array" ref="JP23">INDEX(增益!$A$2:$Q$40,JJ23,MATCH(JP$8,增益!$B$1:$Q$1,0)+1)*$AI23</f>
        <v>0</v>
      </c>
      <c r="JQ23" s="2" cm="1">
        <f t="array" ref="JQ23">INDEX(增益!$A$2:$Q$40,JJ23,MATCH(JQ$8,增益!$B$1:$Q$1,0)+1)*$AI23</f>
        <v>0</v>
      </c>
      <c r="JR23" s="2" cm="1">
        <f t="array" ref="JR23">INDEX(增益!$A$2:$Q$40,JJ23,MATCH(JR$8,增益!$B$1:$Q$1,0)+1)*$AI23</f>
        <v>0</v>
      </c>
      <c r="JS23" s="2" cm="1">
        <f t="array" ref="JS23">INDEX(增益!$A$2:$Q$40,JJ23,MATCH(JS$8,增益!$B$1:$Q$1,0)+1)*$AI23</f>
        <v>0</v>
      </c>
      <c r="JT23" s="2" cm="1">
        <f t="array" ref="JT23">INDEX(增益!$A$2:$Q$40,JJ23,MATCH(JT$8,增益!$B$1:$Q$1,0)+1)*$AI23</f>
        <v>0</v>
      </c>
      <c r="KA23" s="2" cm="1">
        <f t="array" ref="KA23">INDEX(增益!$A$2:$Q$40,JJ23,MATCH(KA$8,增益!$B$1:$Q$1,0)+1)*$AI23</f>
        <v>0</v>
      </c>
      <c r="KB23" s="2" cm="1">
        <f t="array" ref="KB23">INDEX(增益!$A$2:$Q$40,JJ23,MATCH(KB$8,增益!$B$1:$Q$1,0)+1)*$AI23</f>
        <v>0</v>
      </c>
      <c r="KC23" s="2" cm="1">
        <f t="array" ref="KC23">INDEX(增益!$A$2:$Q$40,JJ23,MATCH(KC$8,增益!$B$1:$Q$1,0)+1)*$AI23</f>
        <v>0</v>
      </c>
      <c r="KE23" s="2" cm="1">
        <f t="array" ref="KE23">INDEX(增益!$A$2:$Q$40,JJ23,MATCH(KE$8,增益!$B$1:$Q$1,0)+1)*$AI23</f>
        <v>0</v>
      </c>
      <c r="KG23" s="2" cm="1">
        <f t="array" ref="KG23">INDEX(增益!$A$2:$Q$40,JJ23,MATCH(KG$8,增益!$B$1:$Q$1,0)+1)*$AI23</f>
        <v>0</v>
      </c>
      <c r="KH23" s="2" cm="1">
        <f t="array" ref="KH23">INDEX(增益!$A$2:$Q$40,JJ23,MATCH(KH$8,增益!$B$1:$Q$1,0)+1)*$AI23</f>
        <v>0</v>
      </c>
      <c r="KL23" s="2" cm="1">
        <f t="array" ref="KL23">INDEX(云配队!$J28:$AC28,1,KL$1)</f>
        <v>0</v>
      </c>
      <c r="KM23" s="2">
        <f>IFERROR(MATCH(KL23,增益!$A$2:$A$40,FALSE),1)</f>
        <v>1</v>
      </c>
      <c r="KN23" s="2" cm="1">
        <f t="array" ref="KN23">INDEX(增益!$A$2:$Q$40,KM23,MATCH(KN$8,增益!$B$1:$Q$1,0)+1)*$AI23</f>
        <v>0</v>
      </c>
      <c r="KO23" s="2" cm="1">
        <f t="array" ref="KO23">INDEX(增益!$A$2:$Q$40,KM23,MATCH(KO$8,增益!$B$1:$Q$1,0)+1)*$AI23</f>
        <v>0</v>
      </c>
      <c r="KP23" s="2" cm="1">
        <f t="array" ref="KP23">INDEX(增益!$A$2:$Q$40,KM23,MATCH(KP$8,增益!$B$1:$Q$1,0)+1)*$AI23</f>
        <v>0</v>
      </c>
      <c r="KQ23" s="2" cm="1">
        <f t="array" ref="KQ23">INDEX(增益!$A$2:$Q$40,KM23,MATCH(KQ$8,增益!$B$1:$Q$1,0)+1)*$AI23</f>
        <v>0</v>
      </c>
      <c r="KR23" s="2" cm="1">
        <f t="array" ref="KR23">INDEX(增益!$A$2:$Q$40,KM23,MATCH(KR$8,增益!$B$1:$Q$1,0)+1)*$AI23</f>
        <v>0</v>
      </c>
      <c r="KS23" s="2" cm="1">
        <f t="array" ref="KS23">INDEX(增益!$A$2:$Q$40,KM23,MATCH(KS$8,增益!$B$1:$Q$1,0)+1)*$AI23</f>
        <v>0</v>
      </c>
      <c r="KT23" s="2" cm="1">
        <f t="array" ref="KT23">INDEX(增益!$A$2:$Q$40,KM23,MATCH(KT$8,增益!$B$1:$Q$1,0)+1)*$AI23</f>
        <v>0</v>
      </c>
      <c r="KU23" s="2" cm="1">
        <f t="array" ref="KU23">INDEX(增益!$A$2:$Q$40,KM23,MATCH(KU$8,增益!$B$1:$Q$1,0)+1)*$AI23</f>
        <v>0</v>
      </c>
      <c r="KV23" s="2" cm="1">
        <f t="array" ref="KV23">INDEX(增益!$A$2:$Q$40,KM23,MATCH(KV$8,增益!$B$1:$Q$1,0)+1)*$AI23</f>
        <v>0</v>
      </c>
      <c r="KW23" s="2" cm="1">
        <f t="array" ref="KW23">INDEX(增益!$A$2:$Q$40,KM23,MATCH(KW$8,增益!$B$1:$Q$1,0)+1)*$AI23</f>
        <v>0</v>
      </c>
      <c r="LD23" s="2" cm="1">
        <f t="array" ref="LD23">INDEX(增益!$A$2:$Q$40,KM23,MATCH(LD$8,增益!$B$1:$Q$1,0)+1)*$AI23</f>
        <v>0</v>
      </c>
      <c r="LE23" s="2" cm="1">
        <f t="array" ref="LE23">INDEX(增益!$A$2:$Q$40,KM23,MATCH(LE$8,增益!$B$1:$Q$1,0)+1)*$AI23</f>
        <v>0</v>
      </c>
      <c r="LF23" s="2" cm="1">
        <f t="array" ref="LF23">INDEX(增益!$A$2:$Q$40,KM23,MATCH(LF$8,增益!$B$1:$Q$1,0)+1)*$AI23</f>
        <v>0</v>
      </c>
      <c r="LH23" s="2" cm="1">
        <f t="array" ref="LH23">INDEX(增益!$A$2:$Q$40,KM23,MATCH(LH$8,增益!$B$1:$Q$1,0)+1)*$AI23</f>
        <v>0</v>
      </c>
      <c r="LJ23" s="2" cm="1">
        <f t="array" ref="LJ23">INDEX(增益!$A$2:$Q$40,KM23,MATCH(LJ$8,增益!$B$1:$Q$1,0)+1)*$AI23</f>
        <v>0</v>
      </c>
      <c r="LK23" s="2" cm="1">
        <f t="array" ref="LK23">INDEX(增益!$A$2:$Q$40,KM23,MATCH(LK$8,增益!$B$1:$Q$1,0)+1)*$AI23</f>
        <v>0</v>
      </c>
      <c r="LO23" s="2" cm="1">
        <f t="array" ref="LO23">INDEX(云配队!$J28:$AC28,1,LO$1)</f>
        <v>0</v>
      </c>
      <c r="LP23" s="2">
        <f>IFERROR(MATCH(LO23,增益!$A$2:$A$40,FALSE),1)</f>
        <v>1</v>
      </c>
      <c r="LQ23" s="2" cm="1">
        <f t="array" ref="LQ23">INDEX(增益!$A$2:$Q$40,LP23,MATCH(LQ$8,增益!$B$1:$Q$1,0)+1)*$AI23</f>
        <v>0</v>
      </c>
      <c r="LR23" s="2" cm="1">
        <f t="array" ref="LR23">INDEX(增益!$A$2:$Q$40,LP23,MATCH(LR$8,增益!$B$1:$Q$1,0)+1)*$AI23</f>
        <v>0</v>
      </c>
      <c r="LS23" s="2" cm="1">
        <f t="array" ref="LS23">INDEX(增益!$A$2:$Q$40,LP23,MATCH(LS$8,增益!$B$1:$Q$1,0)+1)*$AI23</f>
        <v>0</v>
      </c>
      <c r="LT23" s="2" cm="1">
        <f t="array" ref="LT23">INDEX(增益!$A$2:$Q$40,LP23,MATCH(LT$8,增益!$B$1:$Q$1,0)+1)*$AI23</f>
        <v>0</v>
      </c>
      <c r="LU23" s="2" cm="1">
        <f t="array" ref="LU23">INDEX(增益!$A$2:$Q$40,LP23,MATCH(LU$8,增益!$B$1:$Q$1,0)+1)*$AI23</f>
        <v>0</v>
      </c>
      <c r="LV23" s="2" cm="1">
        <f t="array" ref="LV23">INDEX(增益!$A$2:$Q$40,LP23,MATCH(LV$8,增益!$B$1:$Q$1,0)+1)*$AI23</f>
        <v>0</v>
      </c>
      <c r="LW23" s="2" cm="1">
        <f t="array" ref="LW23">INDEX(增益!$A$2:$Q$40,LP23,MATCH(LW$8,增益!$B$1:$Q$1,0)+1)*$AI23</f>
        <v>0</v>
      </c>
      <c r="LX23" s="2" cm="1">
        <f t="array" ref="LX23">INDEX(增益!$A$2:$Q$40,LP23,MATCH(LX$8,增益!$B$1:$Q$1,0)+1)*$AI23</f>
        <v>0</v>
      </c>
      <c r="LY23" s="2" cm="1">
        <f t="array" ref="LY23">INDEX(增益!$A$2:$Q$40,LP23,MATCH(LY$8,增益!$B$1:$Q$1,0)+1)*$AI23</f>
        <v>0</v>
      </c>
      <c r="LZ23" s="2" cm="1">
        <f t="array" ref="LZ23">INDEX(增益!$A$2:$Q$40,LP23,MATCH(LZ$8,增益!$B$1:$Q$1,0)+1)*$AI23</f>
        <v>0</v>
      </c>
      <c r="MG23" s="2" cm="1">
        <f t="array" ref="MG23">INDEX(增益!$A$2:$Q$40,LP23,MATCH(MG$8,增益!$B$1:$Q$1,0)+1)*$AI23</f>
        <v>0</v>
      </c>
      <c r="MH23" s="2" cm="1">
        <f t="array" ref="MH23">INDEX(增益!$A$2:$Q$40,LP23,MATCH(MH$8,增益!$B$1:$Q$1,0)+1)*$AI23</f>
        <v>0</v>
      </c>
      <c r="MI23" s="2" cm="1">
        <f t="array" ref="MI23">INDEX(增益!$A$2:$Q$40,LP23,MATCH(MI$8,增益!$B$1:$Q$1,0)+1)*$AI23</f>
        <v>0</v>
      </c>
      <c r="MK23" s="2" cm="1">
        <f t="array" ref="MK23">INDEX(增益!$A$2:$Q$40,LP23,MATCH(MK$8,增益!$B$1:$Q$1,0)+1)*$AI23</f>
        <v>0</v>
      </c>
      <c r="MM23" s="2" cm="1">
        <f t="array" ref="MM23">INDEX(增益!$A$2:$Q$40,LP23,MATCH(MM$8,增益!$B$1:$Q$1,0)+1)*$AI23</f>
        <v>0</v>
      </c>
      <c r="MN23" s="2" cm="1">
        <f t="array" ref="MN23">INDEX(增益!$A$2:$Q$40,LP23,MATCH(MN$8,增益!$B$1:$Q$1,0)+1)*$AI23</f>
        <v>0</v>
      </c>
      <c r="MR23" s="2" cm="1">
        <f t="array" ref="MR23">INDEX(云配队!$J28:$AC28,1,MR$1)</f>
        <v>0</v>
      </c>
      <c r="MS23" s="2">
        <f>IFERROR(MATCH(MR23,增益!$A$2:$A$40,FALSE),1)</f>
        <v>1</v>
      </c>
      <c r="MT23" s="2" cm="1">
        <f t="array" ref="MT23">INDEX(增益!$A$2:$Q$40,MS23,MATCH(MT$8,增益!$B$1:$Q$1,0)+1)*$AI23</f>
        <v>0</v>
      </c>
      <c r="MU23" s="2" cm="1">
        <f t="array" ref="MU23">INDEX(增益!$A$2:$Q$40,MS23,MATCH(MU$8,增益!$B$1:$Q$1,0)+1)*$AI23</f>
        <v>0</v>
      </c>
      <c r="MV23" s="2" cm="1">
        <f t="array" ref="MV23">INDEX(增益!$A$2:$Q$40,MS23,MATCH(MV$8,增益!$B$1:$Q$1,0)+1)*$AI23</f>
        <v>0</v>
      </c>
      <c r="MW23" s="2" cm="1">
        <f t="array" ref="MW23">INDEX(增益!$A$2:$Q$40,MS23,MATCH(MW$8,增益!$B$1:$Q$1,0)+1)*$AI23</f>
        <v>0</v>
      </c>
      <c r="MX23" s="2" cm="1">
        <f t="array" ref="MX23">INDEX(增益!$A$2:$Q$40,MS23,MATCH(MX$8,增益!$B$1:$Q$1,0)+1)*$AI23</f>
        <v>0</v>
      </c>
      <c r="MY23" s="2" cm="1">
        <f t="array" ref="MY23">INDEX(增益!$A$2:$Q$40,MS23,MATCH(MY$8,增益!$B$1:$Q$1,0)+1)*$AI23</f>
        <v>0</v>
      </c>
      <c r="MZ23" s="2" cm="1">
        <f t="array" ref="MZ23">INDEX(增益!$A$2:$Q$40,MS23,MATCH(MZ$8,增益!$B$1:$Q$1,0)+1)*$AI23</f>
        <v>0</v>
      </c>
      <c r="NA23" s="2" cm="1">
        <f t="array" ref="NA23">INDEX(增益!$A$2:$Q$40,MS23,MATCH(NA$8,增益!$B$1:$Q$1,0)+1)*$AI23</f>
        <v>0</v>
      </c>
      <c r="NB23" s="2" cm="1">
        <f t="array" ref="NB23">INDEX(增益!$A$2:$Q$40,MS23,MATCH(NB$8,增益!$B$1:$Q$1,0)+1)*$AI23</f>
        <v>0</v>
      </c>
      <c r="NC23" s="2" cm="1">
        <f t="array" ref="NC23">INDEX(增益!$A$2:$Q$40,MS23,MATCH(NC$8,增益!$B$1:$Q$1,0)+1)*$AI23</f>
        <v>0</v>
      </c>
      <c r="NJ23" s="2" cm="1">
        <f t="array" ref="NJ23">INDEX(增益!$A$2:$Q$40,MS23,MATCH(NJ$8,增益!$B$1:$Q$1,0)+1)*$AI23</f>
        <v>0</v>
      </c>
      <c r="NK23" s="2" cm="1">
        <f t="array" ref="NK23">INDEX(增益!$A$2:$Q$40,MS23,MATCH(NK$8,增益!$B$1:$Q$1,0)+1)*$AI23</f>
        <v>0</v>
      </c>
      <c r="NL23" s="2" cm="1">
        <f t="array" ref="NL23">INDEX(增益!$A$2:$Q$40,MS23,MATCH(NL$8,增益!$B$1:$Q$1,0)+1)*$AI23</f>
        <v>0</v>
      </c>
      <c r="NN23" s="2" cm="1">
        <f t="array" ref="NN23">INDEX(增益!$A$2:$Q$40,MS23,MATCH(NN$8,增益!$B$1:$Q$1,0)+1)*$AI23</f>
        <v>0</v>
      </c>
      <c r="NP23" s="2" cm="1">
        <f t="array" ref="NP23">INDEX(增益!$A$2:$Q$40,MS23,MATCH(NP$8,增益!$B$1:$Q$1,0)+1)*$AI23</f>
        <v>0</v>
      </c>
      <c r="NQ23" s="2" cm="1">
        <f t="array" ref="NQ23">INDEX(增益!$A$2:$Q$40,MS23,MATCH(NQ$8,增益!$B$1:$Q$1,0)+1)*$AI23</f>
        <v>0</v>
      </c>
      <c r="NU23" s="2" cm="1">
        <f t="array" ref="NU23">INDEX(云配队!$J28:$AC28,1,NU$1)</f>
        <v>0</v>
      </c>
      <c r="NV23" s="2">
        <f>IFERROR(MATCH(NU23,增益!$A$2:$A$40,FALSE),1)</f>
        <v>1</v>
      </c>
      <c r="NW23" s="2" cm="1">
        <f t="array" ref="NW23">INDEX(增益!$A$2:$Q$40,NV23,MATCH(NW$8,增益!$B$1:$Q$1,0)+1)*$AI23</f>
        <v>0</v>
      </c>
      <c r="NX23" s="2" cm="1">
        <f t="array" ref="NX23">INDEX(增益!$A$2:$Q$40,NV23,MATCH(NX$8,增益!$B$1:$Q$1,0)+1)*$AI23</f>
        <v>0</v>
      </c>
      <c r="NY23" s="2" cm="1">
        <f t="array" ref="NY23">INDEX(增益!$A$2:$Q$40,NV23,MATCH(NY$8,增益!$B$1:$Q$1,0)+1)*$AI23</f>
        <v>0</v>
      </c>
      <c r="NZ23" s="2" cm="1">
        <f t="array" ref="NZ23">INDEX(增益!$A$2:$Q$40,NV23,MATCH(NZ$8,增益!$B$1:$Q$1,0)+1)*$AI23</f>
        <v>0</v>
      </c>
      <c r="OA23" s="2" cm="1">
        <f t="array" ref="OA23">INDEX(增益!$A$2:$Q$40,NV23,MATCH(OA$8,增益!$B$1:$Q$1,0)+1)*$AI23</f>
        <v>0</v>
      </c>
      <c r="OB23" s="2" cm="1">
        <f t="array" ref="OB23">INDEX(增益!$A$2:$Q$40,NV23,MATCH(OB$8,增益!$B$1:$Q$1,0)+1)*$AI23</f>
        <v>0</v>
      </c>
      <c r="OC23" s="2" cm="1">
        <f t="array" ref="OC23">INDEX(增益!$A$2:$Q$40,NV23,MATCH(OC$8,增益!$B$1:$Q$1,0)+1)*$AI23</f>
        <v>0</v>
      </c>
      <c r="OD23" s="2" cm="1">
        <f t="array" ref="OD23">INDEX(增益!$A$2:$Q$40,NV23,MATCH(OD$8,增益!$B$1:$Q$1,0)+1)*$AI23</f>
        <v>0</v>
      </c>
      <c r="OE23" s="2" cm="1">
        <f t="array" ref="OE23">INDEX(增益!$A$2:$Q$40,NV23,MATCH(OE$8,增益!$B$1:$Q$1,0)+1)*$AI23</f>
        <v>0</v>
      </c>
      <c r="OF23" s="2" cm="1">
        <f t="array" ref="OF23">INDEX(增益!$A$2:$Q$40,NV23,MATCH(OF$8,增益!$B$1:$Q$1,0)+1)*$AI23</f>
        <v>0</v>
      </c>
      <c r="OM23" s="2" cm="1">
        <f t="array" ref="OM23">INDEX(增益!$A$2:$Q$40,NV23,MATCH(OM$8,增益!$B$1:$Q$1,0)+1)*$AI23</f>
        <v>0</v>
      </c>
      <c r="ON23" s="2" cm="1">
        <f t="array" ref="ON23">INDEX(增益!$A$2:$Q$40,NV23,MATCH(ON$8,增益!$B$1:$Q$1,0)+1)*$AI23</f>
        <v>0</v>
      </c>
      <c r="OO23" s="2" cm="1">
        <f t="array" ref="OO23">INDEX(增益!$A$2:$Q$40,NV23,MATCH(OO$8,增益!$B$1:$Q$1,0)+1)*$AI23</f>
        <v>0</v>
      </c>
      <c r="OQ23" s="2" cm="1">
        <f t="array" ref="OQ23">INDEX(增益!$A$2:$Q$40,NV23,MATCH(OQ$8,增益!$B$1:$Q$1,0)+1)*$AI23</f>
        <v>0</v>
      </c>
      <c r="OS23" s="2" cm="1">
        <f t="array" ref="OS23">INDEX(增益!$A$2:$Q$40,NV23,MATCH(OS$8,增益!$B$1:$Q$1,0)+1)*$AI23</f>
        <v>0</v>
      </c>
      <c r="OT23" s="2" cm="1">
        <f t="array" ref="OT23">INDEX(增益!$A$2:$Q$40,NV23,MATCH(OT$8,增益!$B$1:$Q$1,0)+1)*$AI23</f>
        <v>0</v>
      </c>
      <c r="OX23" s="2" cm="1">
        <f t="array" ref="OX23">INDEX(云配队!$J28:$AC28,1,OX$1)</f>
        <v>0</v>
      </c>
      <c r="OY23" s="2">
        <f>IFERROR(MATCH(OX23,增益!$A$2:$A$40,FALSE),1)</f>
        <v>1</v>
      </c>
      <c r="OZ23" s="2" cm="1">
        <f t="array" ref="OZ23">INDEX(增益!$A$2:$Q$40,OY23,MATCH(OZ$8,增益!$B$1:$Q$1,0)+1)*$AI23</f>
        <v>0</v>
      </c>
      <c r="PA23" s="2" cm="1">
        <f t="array" ref="PA23">INDEX(增益!$A$2:$Q$40,OY23,MATCH(PA$8,增益!$B$1:$Q$1,0)+1)*$AI23</f>
        <v>0</v>
      </c>
      <c r="PB23" s="2" cm="1">
        <f t="array" ref="PB23">INDEX(增益!$A$2:$Q$40,OY23,MATCH(PB$8,增益!$B$1:$Q$1,0)+1)*$AI23</f>
        <v>0</v>
      </c>
      <c r="PC23" s="2" cm="1">
        <f t="array" ref="PC23">INDEX(增益!$A$2:$Q$40,OY23,MATCH(PC$8,增益!$B$1:$Q$1,0)+1)*$AI23</f>
        <v>0</v>
      </c>
      <c r="PD23" s="2" cm="1">
        <f t="array" ref="PD23">INDEX(增益!$A$2:$Q$40,OY23,MATCH(PD$8,增益!$B$1:$Q$1,0)+1)*$AI23</f>
        <v>0</v>
      </c>
      <c r="PE23" s="2" cm="1">
        <f t="array" ref="PE23">INDEX(增益!$A$2:$Q$40,OY23,MATCH(PE$8,增益!$B$1:$Q$1,0)+1)*$AI23</f>
        <v>0</v>
      </c>
      <c r="PF23" s="2" cm="1">
        <f t="array" ref="PF23">INDEX(增益!$A$2:$Q$40,OY23,MATCH(PF$8,增益!$B$1:$Q$1,0)+1)*$AI23</f>
        <v>0</v>
      </c>
      <c r="PG23" s="2" cm="1">
        <f t="array" ref="PG23">INDEX(增益!$A$2:$Q$40,OY23,MATCH(PG$8,增益!$B$1:$Q$1,0)+1)*$AI23</f>
        <v>0</v>
      </c>
      <c r="PH23" s="2" cm="1">
        <f t="array" ref="PH23">INDEX(增益!$A$2:$Q$40,OY23,MATCH(PH$8,增益!$B$1:$Q$1,0)+1)*$AI23</f>
        <v>0</v>
      </c>
      <c r="PI23" s="2" cm="1">
        <f t="array" ref="PI23">INDEX(增益!$A$2:$Q$40,OY23,MATCH(PI$8,增益!$B$1:$Q$1,0)+1)*$AI23</f>
        <v>0</v>
      </c>
      <c r="PP23" s="2" cm="1">
        <f t="array" ref="PP23">INDEX(增益!$A$2:$Q$40,OY23,MATCH(PP$8,增益!$B$1:$Q$1,0)+1)*$AI23</f>
        <v>0</v>
      </c>
      <c r="PQ23" s="2" cm="1">
        <f t="array" ref="PQ23">INDEX(增益!$A$2:$Q$40,OY23,MATCH(PQ$8,增益!$B$1:$Q$1,0)+1)*$AI23</f>
        <v>0</v>
      </c>
      <c r="PR23" s="2" cm="1">
        <f t="array" ref="PR23">INDEX(增益!$A$2:$Q$40,OY23,MATCH(PR$8,增益!$B$1:$Q$1,0)+1)*$AI23</f>
        <v>0</v>
      </c>
      <c r="PT23" s="2" cm="1">
        <f t="array" ref="PT23">INDEX(增益!$A$2:$Q$40,OY23,MATCH(PT$8,增益!$B$1:$Q$1,0)+1)*$AI23</f>
        <v>0</v>
      </c>
      <c r="PV23" s="2" cm="1">
        <f t="array" ref="PV23">INDEX(增益!$A$2:$Q$40,OY23,MATCH(PV$8,增益!$B$1:$Q$1,0)+1)*$AI23</f>
        <v>0</v>
      </c>
      <c r="PW23" s="2" cm="1">
        <f t="array" ref="PW23">INDEX(增益!$A$2:$Q$40,OY23,MATCH(PW$8,增益!$B$1:$Q$1,0)+1)*$AI23</f>
        <v>0</v>
      </c>
      <c r="QA23" s="2" cm="1">
        <f t="array" ref="QA23">INDEX(云配队!$J28:$AC28,1,QA$1)</f>
        <v>0</v>
      </c>
      <c r="QB23" s="2">
        <f>IFERROR(MATCH(QA23,增益!$A$2:$A$40,FALSE),1)</f>
        <v>1</v>
      </c>
      <c r="QC23" s="2" cm="1">
        <f t="array" ref="QC23">INDEX(增益!$A$2:$Q$40,QB23,MATCH(QC$8,增益!$B$1:$Q$1,0)+1)*$AI23</f>
        <v>0</v>
      </c>
      <c r="QD23" s="2" cm="1">
        <f t="array" ref="QD23">INDEX(增益!$A$2:$Q$40,QB23,MATCH(QD$8,增益!$B$1:$Q$1,0)+1)*$AI23</f>
        <v>0</v>
      </c>
      <c r="QE23" s="2" cm="1">
        <f t="array" ref="QE23">INDEX(增益!$A$2:$Q$40,QB23,MATCH(QE$8,增益!$B$1:$Q$1,0)+1)*$AI23</f>
        <v>0</v>
      </c>
      <c r="QF23" s="2" cm="1">
        <f t="array" ref="QF23">INDEX(增益!$A$2:$Q$40,QB23,MATCH(QF$8,增益!$B$1:$Q$1,0)+1)*$AI23</f>
        <v>0</v>
      </c>
      <c r="QG23" s="2" cm="1">
        <f t="array" ref="QG23">INDEX(增益!$A$2:$Q$40,QB23,MATCH(QG$8,增益!$B$1:$Q$1,0)+1)*$AI23</f>
        <v>0</v>
      </c>
      <c r="QH23" s="2" cm="1">
        <f t="array" ref="QH23">INDEX(增益!$A$2:$Q$40,QB23,MATCH(QH$8,增益!$B$1:$Q$1,0)+1)*$AI23</f>
        <v>0</v>
      </c>
      <c r="QI23" s="2" cm="1">
        <f t="array" ref="QI23">INDEX(增益!$A$2:$Q$40,QB23,MATCH(QI$8,增益!$B$1:$Q$1,0)+1)*$AI23</f>
        <v>0</v>
      </c>
      <c r="QJ23" s="2" cm="1">
        <f t="array" ref="QJ23">INDEX(增益!$A$2:$Q$40,QB23,MATCH(QJ$8,增益!$B$1:$Q$1,0)+1)*$AI23</f>
        <v>0</v>
      </c>
      <c r="QK23" s="2" cm="1">
        <f t="array" ref="QK23">INDEX(增益!$A$2:$Q$40,QB23,MATCH(QK$8,增益!$B$1:$Q$1,0)+1)*$AI23</f>
        <v>0</v>
      </c>
      <c r="QL23" s="2" cm="1">
        <f t="array" ref="QL23">INDEX(增益!$A$2:$Q$40,QB23,MATCH(QL$8,增益!$B$1:$Q$1,0)+1)*$AI23</f>
        <v>0</v>
      </c>
      <c r="QS23" s="2" cm="1">
        <f t="array" ref="QS23">INDEX(增益!$A$2:$Q$40,QB23,MATCH(QS$8,增益!$B$1:$Q$1,0)+1)*$AI23</f>
        <v>0</v>
      </c>
      <c r="QT23" s="2" cm="1">
        <f t="array" ref="QT23">INDEX(增益!$A$2:$Q$40,QB23,MATCH(QT$8,增益!$B$1:$Q$1,0)+1)*$AI23</f>
        <v>0</v>
      </c>
      <c r="QU23" s="2" cm="1">
        <f t="array" ref="QU23">INDEX(增益!$A$2:$Q$40,QB23,MATCH(QU$8,增益!$B$1:$Q$1,0)+1)*$AI23</f>
        <v>0</v>
      </c>
      <c r="QW23" s="2" cm="1">
        <f t="array" ref="QW23">INDEX(增益!$A$2:$Q$40,QB23,MATCH(QW$8,增益!$B$1:$Q$1,0)+1)*$AI23</f>
        <v>0</v>
      </c>
      <c r="QY23" s="2" cm="1">
        <f t="array" ref="QY23">INDEX(增益!$A$2:$Q$40,QB23,MATCH(QY$8,增益!$B$1:$Q$1,0)+1)*$AI23</f>
        <v>0</v>
      </c>
      <c r="QZ23" s="2" cm="1">
        <f t="array" ref="QZ23">INDEX(增益!$A$2:$Q$40,QB23,MATCH(QZ$8,增益!$B$1:$Q$1,0)+1)*$AI23</f>
        <v>0</v>
      </c>
      <c r="RD23" s="2" cm="1">
        <f t="array" ref="RD23">INDEX(云配队!$J28:$AC28,1,RD$1)</f>
        <v>0</v>
      </c>
      <c r="RE23" s="2">
        <f>IFERROR(MATCH(RD23,增益!$A$2:$A$40,FALSE),1)</f>
        <v>1</v>
      </c>
      <c r="RF23" s="2" cm="1">
        <f t="array" ref="RF23">INDEX(增益!$A$2:$Q$40,RE23,MATCH(RF$8,增益!$B$1:$Q$1,0)+1)*$AI23</f>
        <v>0</v>
      </c>
      <c r="RG23" s="2" cm="1">
        <f t="array" ref="RG23">INDEX(增益!$A$2:$Q$40,RE23,MATCH(RG$8,增益!$B$1:$Q$1,0)+1)*$AI23</f>
        <v>0</v>
      </c>
      <c r="RH23" s="2" cm="1">
        <f t="array" ref="RH23">INDEX(增益!$A$2:$Q$40,RE23,MATCH(RH$8,增益!$B$1:$Q$1,0)+1)*$AI23</f>
        <v>0</v>
      </c>
      <c r="RI23" s="2" cm="1">
        <f t="array" ref="RI23">INDEX(增益!$A$2:$Q$40,RE23,MATCH(RI$8,增益!$B$1:$Q$1,0)+1)*$AI23</f>
        <v>0</v>
      </c>
      <c r="RJ23" s="2" cm="1">
        <f t="array" ref="RJ23">INDEX(增益!$A$2:$Q$40,RE23,MATCH(RJ$8,增益!$B$1:$Q$1,0)+1)*$AI23</f>
        <v>0</v>
      </c>
      <c r="RK23" s="2" cm="1">
        <f t="array" ref="RK23">INDEX(增益!$A$2:$Q$40,RE23,MATCH(RK$8,增益!$B$1:$Q$1,0)+1)*$AI23</f>
        <v>0</v>
      </c>
      <c r="RL23" s="2" cm="1">
        <f t="array" ref="RL23">INDEX(增益!$A$2:$Q$40,RE23,MATCH(RL$8,增益!$B$1:$Q$1,0)+1)*$AI23</f>
        <v>0</v>
      </c>
      <c r="RM23" s="2" cm="1">
        <f t="array" ref="RM23">INDEX(增益!$A$2:$Q$40,RE23,MATCH(RM$8,增益!$B$1:$Q$1,0)+1)*$AI23</f>
        <v>0</v>
      </c>
      <c r="RN23" s="2" cm="1">
        <f t="array" ref="RN23">INDEX(增益!$A$2:$Q$40,RE23,MATCH(RN$8,增益!$B$1:$Q$1,0)+1)*$AI23</f>
        <v>0</v>
      </c>
      <c r="RO23" s="2" cm="1">
        <f t="array" ref="RO23">INDEX(增益!$A$2:$Q$40,RE23,MATCH(RO$8,增益!$B$1:$Q$1,0)+1)*$AI23</f>
        <v>0</v>
      </c>
      <c r="RV23" s="2" cm="1">
        <f t="array" ref="RV23">INDEX(增益!$A$2:$Q$40,RE23,MATCH(RV$8,增益!$B$1:$Q$1,0)+1)*$AI23</f>
        <v>0</v>
      </c>
      <c r="RW23" s="2" cm="1">
        <f t="array" ref="RW23">INDEX(增益!$A$2:$Q$40,RE23,MATCH(RW$8,增益!$B$1:$Q$1,0)+1)*$AI23</f>
        <v>0</v>
      </c>
      <c r="RX23" s="2" cm="1">
        <f t="array" ref="RX23">INDEX(增益!$A$2:$Q$40,RE23,MATCH(RX$8,增益!$B$1:$Q$1,0)+1)*$AI23</f>
        <v>0</v>
      </c>
      <c r="RZ23" s="2" cm="1">
        <f t="array" ref="RZ23">INDEX(增益!$A$2:$Q$40,RE23,MATCH(RZ$8,增益!$B$1:$Q$1,0)+1)*$AI23</f>
        <v>0</v>
      </c>
      <c r="SB23" s="2" cm="1">
        <f t="array" ref="SB23">INDEX(增益!$A$2:$Q$40,RE23,MATCH(SB$8,增益!$B$1:$Q$1,0)+1)*$AI23</f>
        <v>0</v>
      </c>
      <c r="SC23" s="2" cm="1">
        <f t="array" ref="SC23">INDEX(增益!$A$2:$Q$40,RE23,MATCH(SC$8,增益!$B$1:$Q$1,0)+1)*$AI23</f>
        <v>0</v>
      </c>
      <c r="SG23" s="2" cm="1">
        <f t="array" ref="SG23">INDEX(云配队!$J28:$AC28,1,SG$1)</f>
        <v>0</v>
      </c>
      <c r="SH23" s="2">
        <f>IFERROR(MATCH(SG23,增益!$A$2:$A$40,FALSE),1)</f>
        <v>1</v>
      </c>
      <c r="SI23" s="2" cm="1">
        <f t="array" ref="SI23">INDEX(增益!$A$2:$Q$40,SH23,MATCH(SI$8,增益!$B$1:$Q$1,0)+1)*$AI23</f>
        <v>0</v>
      </c>
      <c r="SJ23" s="2" cm="1">
        <f t="array" ref="SJ23">INDEX(增益!$A$2:$Q$40,SH23,MATCH(SJ$8,增益!$B$1:$Q$1,0)+1)*$AI23</f>
        <v>0</v>
      </c>
      <c r="SK23" s="2" cm="1">
        <f t="array" ref="SK23">INDEX(增益!$A$2:$Q$40,SH23,MATCH(SK$8,增益!$B$1:$Q$1,0)+1)*$AI23</f>
        <v>0</v>
      </c>
      <c r="SL23" s="2" cm="1">
        <f t="array" ref="SL23">INDEX(增益!$A$2:$Q$40,SH23,MATCH(SL$8,增益!$B$1:$Q$1,0)+1)*$AI23</f>
        <v>0</v>
      </c>
      <c r="SM23" s="2" cm="1">
        <f t="array" ref="SM23">INDEX(增益!$A$2:$Q$40,SH23,MATCH(SM$8,增益!$B$1:$Q$1,0)+1)*$AI23</f>
        <v>0</v>
      </c>
      <c r="SN23" s="2" cm="1">
        <f t="array" ref="SN23">INDEX(增益!$A$2:$Q$40,SH23,MATCH(SN$8,增益!$B$1:$Q$1,0)+1)*$AI23</f>
        <v>0</v>
      </c>
      <c r="SO23" s="2" cm="1">
        <f t="array" ref="SO23">INDEX(增益!$A$2:$Q$40,SH23,MATCH(SO$8,增益!$B$1:$Q$1,0)+1)*$AI23</f>
        <v>0</v>
      </c>
      <c r="SP23" s="2" cm="1">
        <f t="array" ref="SP23">INDEX(增益!$A$2:$Q$40,SH23,MATCH(SP$8,增益!$B$1:$Q$1,0)+1)*$AI23</f>
        <v>0</v>
      </c>
      <c r="SQ23" s="2" cm="1">
        <f t="array" ref="SQ23">INDEX(增益!$A$2:$Q$40,SH23,MATCH(SQ$8,增益!$B$1:$Q$1,0)+1)*$AI23</f>
        <v>0</v>
      </c>
      <c r="SR23" s="2" cm="1">
        <f t="array" ref="SR23">INDEX(增益!$A$2:$Q$40,SH23,MATCH(SR$8,增益!$B$1:$Q$1,0)+1)*$AI23</f>
        <v>0</v>
      </c>
      <c r="SY23" s="2" cm="1">
        <f t="array" ref="SY23">INDEX(增益!$A$2:$Q$40,SH23,MATCH(SY$8,增益!$B$1:$Q$1,0)+1)*$AI23</f>
        <v>0</v>
      </c>
      <c r="SZ23" s="2" cm="1">
        <f t="array" ref="SZ23">INDEX(增益!$A$2:$Q$40,SH23,MATCH(SZ$8,增益!$B$1:$Q$1,0)+1)*$AI23</f>
        <v>0</v>
      </c>
      <c r="TA23" s="2" cm="1">
        <f t="array" ref="TA23">INDEX(增益!$A$2:$Q$40,SH23,MATCH(TA$8,增益!$B$1:$Q$1,0)+1)*$AI23</f>
        <v>0</v>
      </c>
      <c r="TC23" s="2" cm="1">
        <f t="array" ref="TC23">INDEX(增益!$A$2:$Q$40,SH23,MATCH(TC$8,增益!$B$1:$Q$1,0)+1)*$AI23</f>
        <v>0</v>
      </c>
      <c r="TE23" s="2" cm="1">
        <f t="array" ref="TE23">INDEX(增益!$A$2:$Q$40,SH23,MATCH(TE$8,增益!$B$1:$Q$1,0)+1)*$AI23</f>
        <v>0</v>
      </c>
      <c r="TF23" s="2" cm="1">
        <f t="array" ref="TF23">INDEX(增益!$A$2:$Q$40,SH23,MATCH(TF$8,增益!$B$1:$Q$1,0)+1)*$AI23</f>
        <v>0</v>
      </c>
      <c r="TJ23" s="2" cm="1">
        <f t="array" ref="TJ23">INDEX(云配队!$J28:$AC28,1,TJ$1)</f>
        <v>0</v>
      </c>
      <c r="TK23" s="2">
        <f>IFERROR(MATCH(TJ23,增益!$A$2:$A$40,FALSE),1)</f>
        <v>1</v>
      </c>
      <c r="TL23" s="2" cm="1">
        <f t="array" ref="TL23">INDEX(增益!$A$2:$Q$40,TK23,MATCH(TL$8,增益!$B$1:$Q$1,0)+1)*$AI23</f>
        <v>0</v>
      </c>
      <c r="TM23" s="2" cm="1">
        <f t="array" ref="TM23">INDEX(增益!$A$2:$Q$40,TK23,MATCH(TM$8,增益!$B$1:$Q$1,0)+1)*$AI23</f>
        <v>0</v>
      </c>
      <c r="TN23" s="2" cm="1">
        <f t="array" ref="TN23">INDEX(增益!$A$2:$Q$40,TK23,MATCH(TN$8,增益!$B$1:$Q$1,0)+1)*$AI23</f>
        <v>0</v>
      </c>
      <c r="TO23" s="2" cm="1">
        <f t="array" ref="TO23">INDEX(增益!$A$2:$Q$40,TK23,MATCH(TO$8,增益!$B$1:$Q$1,0)+1)*$AI23</f>
        <v>0</v>
      </c>
      <c r="TP23" s="2" cm="1">
        <f t="array" ref="TP23">INDEX(增益!$A$2:$Q$40,TK23,MATCH(TP$8,增益!$B$1:$Q$1,0)+1)*$AI23</f>
        <v>0</v>
      </c>
      <c r="TQ23" s="2" cm="1">
        <f t="array" ref="TQ23">INDEX(增益!$A$2:$Q$40,TK23,MATCH(TQ$8,增益!$B$1:$Q$1,0)+1)*$AI23</f>
        <v>0</v>
      </c>
      <c r="TR23" s="2" cm="1">
        <f t="array" ref="TR23">INDEX(增益!$A$2:$Q$40,TK23,MATCH(TR$8,增益!$B$1:$Q$1,0)+1)*$AI23</f>
        <v>0</v>
      </c>
      <c r="TS23" s="2" cm="1">
        <f t="array" ref="TS23">INDEX(增益!$A$2:$Q$40,TK23,MATCH(TS$8,增益!$B$1:$Q$1,0)+1)*$AI23</f>
        <v>0</v>
      </c>
      <c r="TT23" s="2" cm="1">
        <f t="array" ref="TT23">INDEX(增益!$A$2:$Q$40,TK23,MATCH(TT$8,增益!$B$1:$Q$1,0)+1)*$AI23</f>
        <v>0</v>
      </c>
      <c r="TU23" s="2" cm="1">
        <f t="array" ref="TU23">INDEX(增益!$A$2:$Q$40,TK23,MATCH(TU$8,增益!$B$1:$Q$1,0)+1)*$AI23</f>
        <v>0</v>
      </c>
      <c r="UB23" s="2" cm="1">
        <f t="array" ref="UB23">INDEX(增益!$A$2:$Q$40,TK23,MATCH(UB$8,增益!$B$1:$Q$1,0)+1)*$AI23</f>
        <v>0</v>
      </c>
      <c r="UC23" s="2" cm="1">
        <f t="array" ref="UC23">INDEX(增益!$A$2:$Q$40,TK23,MATCH(UC$8,增益!$B$1:$Q$1,0)+1)*$AI23</f>
        <v>0</v>
      </c>
      <c r="UD23" s="2" cm="1">
        <f t="array" ref="UD23">INDEX(增益!$A$2:$Q$40,TK23,MATCH(UD$8,增益!$B$1:$Q$1,0)+1)*$AI23</f>
        <v>0</v>
      </c>
      <c r="UF23" s="2" cm="1">
        <f t="array" ref="UF23">INDEX(增益!$A$2:$Q$40,TK23,MATCH(UF$8,增益!$B$1:$Q$1,0)+1)*$AI23</f>
        <v>0</v>
      </c>
      <c r="UH23" s="2" cm="1">
        <f t="array" ref="UH23">INDEX(增益!$A$2:$Q$40,TK23,MATCH(UH$8,增益!$B$1:$Q$1,0)+1)*$AI23</f>
        <v>0</v>
      </c>
      <c r="UI23" s="2" cm="1">
        <f t="array" ref="UI23">INDEX(增益!$A$2:$Q$40,TK23,MATCH(UI$8,增益!$B$1:$Q$1,0)+1)*$AI23</f>
        <v>0</v>
      </c>
      <c r="UM23" s="2" cm="1">
        <f t="array" ref="UM23">INDEX(云配队!$J28:$AC28,1,UM$1)</f>
        <v>0</v>
      </c>
      <c r="UN23" s="2">
        <f>IFERROR(MATCH(UM23,增益!$A$2:$A$40,FALSE),1)</f>
        <v>1</v>
      </c>
      <c r="UO23" s="2" cm="1">
        <f t="array" ref="UO23">INDEX(增益!$A$2:$Q$40,UN23,MATCH(UO$8,增益!$B$1:$Q$1,0)+1)*$AI23</f>
        <v>0</v>
      </c>
      <c r="UP23" s="2" cm="1">
        <f t="array" ref="UP23">INDEX(增益!$A$2:$Q$40,UN23,MATCH(UP$8,增益!$B$1:$Q$1,0)+1)*$AI23</f>
        <v>0</v>
      </c>
      <c r="UQ23" s="2" cm="1">
        <f t="array" ref="UQ23">INDEX(增益!$A$2:$Q$40,UN23,MATCH(UQ$8,增益!$B$1:$Q$1,0)+1)*$AI23</f>
        <v>0</v>
      </c>
      <c r="UR23" s="2" cm="1">
        <f t="array" ref="UR23">INDEX(增益!$A$2:$Q$40,UN23,MATCH(UR$8,增益!$B$1:$Q$1,0)+1)*$AI23</f>
        <v>0</v>
      </c>
      <c r="US23" s="2" cm="1">
        <f t="array" ref="US23">INDEX(增益!$A$2:$Q$40,UN23,MATCH(US$8,增益!$B$1:$Q$1,0)+1)*$AI23</f>
        <v>0</v>
      </c>
      <c r="UT23" s="2" cm="1">
        <f t="array" ref="UT23">INDEX(增益!$A$2:$Q$40,UN23,MATCH(UT$8,增益!$B$1:$Q$1,0)+1)*$AI23</f>
        <v>0</v>
      </c>
      <c r="UU23" s="2" cm="1">
        <f t="array" ref="UU23">INDEX(增益!$A$2:$Q$40,UN23,MATCH(UU$8,增益!$B$1:$Q$1,0)+1)*$AI23</f>
        <v>0</v>
      </c>
      <c r="UV23" s="2" cm="1">
        <f t="array" ref="UV23">INDEX(增益!$A$2:$Q$40,UN23,MATCH(UV$8,增益!$B$1:$Q$1,0)+1)*$AI23</f>
        <v>0</v>
      </c>
      <c r="UW23" s="2" cm="1">
        <f t="array" ref="UW23">INDEX(增益!$A$2:$Q$40,UN23,MATCH(UW$8,增益!$B$1:$Q$1,0)+1)*$AI23</f>
        <v>0</v>
      </c>
      <c r="UX23" s="2" cm="1">
        <f t="array" ref="UX23">INDEX(增益!$A$2:$Q$40,UN23,MATCH(UX$8,增益!$B$1:$Q$1,0)+1)*$AI23</f>
        <v>0</v>
      </c>
      <c r="VE23" s="2" cm="1">
        <f t="array" ref="VE23">INDEX(增益!$A$2:$Q$40,UN23,MATCH(VE$8,增益!$B$1:$Q$1,0)+1)*$AI23</f>
        <v>0</v>
      </c>
      <c r="VF23" s="2" cm="1">
        <f t="array" ref="VF23">INDEX(增益!$A$2:$Q$40,UN23,MATCH(VF$8,增益!$B$1:$Q$1,0)+1)*$AI23</f>
        <v>0</v>
      </c>
      <c r="VG23" s="2" cm="1">
        <f t="array" ref="VG23">INDEX(增益!$A$2:$Q$40,UN23,MATCH(VG$8,增益!$B$1:$Q$1,0)+1)*$AI23</f>
        <v>0</v>
      </c>
      <c r="VI23" s="2" cm="1">
        <f t="array" ref="VI23">INDEX(增益!$A$2:$Q$40,UN23,MATCH(VI$8,增益!$B$1:$Q$1,0)+1)*$AI23</f>
        <v>0</v>
      </c>
      <c r="VK23" s="2" cm="1">
        <f t="array" ref="VK23">INDEX(增益!$A$2:$Q$40,UN23,MATCH(VK$8,增益!$B$1:$Q$1,0)+1)*$AI23</f>
        <v>0</v>
      </c>
      <c r="VL23" s="2" cm="1">
        <f t="array" ref="VL23">INDEX(增益!$A$2:$Q$40,UN23,MATCH(VL$8,增益!$B$1:$Q$1,0)+1)*$AI23</f>
        <v>0</v>
      </c>
      <c r="VP23" s="2" cm="1">
        <f t="array" ref="VP23">INDEX(云配队!$J28:$AC28,1,VP$1)</f>
        <v>0</v>
      </c>
      <c r="VQ23" s="2">
        <f>IFERROR(MATCH(VP23,增益!$A$2:$A$40,FALSE),1)</f>
        <v>1</v>
      </c>
      <c r="VR23" s="2" cm="1">
        <f t="array" ref="VR23">INDEX(增益!$A$2:$Q$40,VQ23,MATCH(VR$8,增益!$B$1:$Q$1,0)+1)*$AI23</f>
        <v>0</v>
      </c>
      <c r="VS23" s="2" cm="1">
        <f t="array" ref="VS23">INDEX(增益!$A$2:$Q$40,VQ23,MATCH(VS$8,增益!$B$1:$Q$1,0)+1)*$AI23</f>
        <v>0</v>
      </c>
      <c r="VT23" s="2" cm="1">
        <f t="array" ref="VT23">INDEX(增益!$A$2:$Q$40,VQ23,MATCH(VT$8,增益!$B$1:$Q$1,0)+1)*$AI23</f>
        <v>0</v>
      </c>
      <c r="VU23" s="2" cm="1">
        <f t="array" ref="VU23">INDEX(增益!$A$2:$Q$40,VQ23,MATCH(VU$8,增益!$B$1:$Q$1,0)+1)*$AI23</f>
        <v>0</v>
      </c>
      <c r="VV23" s="2" cm="1">
        <f t="array" ref="VV23">INDEX(增益!$A$2:$Q$40,VQ23,MATCH(VV$8,增益!$B$1:$Q$1,0)+1)*$AI23</f>
        <v>0</v>
      </c>
      <c r="VW23" s="2" cm="1">
        <f t="array" ref="VW23">INDEX(增益!$A$2:$Q$40,VQ23,MATCH(VW$8,增益!$B$1:$Q$1,0)+1)*$AI23</f>
        <v>0</v>
      </c>
      <c r="VX23" s="2" cm="1">
        <f t="array" ref="VX23">INDEX(增益!$A$2:$Q$40,VQ23,MATCH(VX$8,增益!$B$1:$Q$1,0)+1)*$AI23</f>
        <v>0</v>
      </c>
      <c r="VY23" s="2" cm="1">
        <f t="array" ref="VY23">INDEX(增益!$A$2:$Q$40,VQ23,MATCH(VY$8,增益!$B$1:$Q$1,0)+1)*$AI23</f>
        <v>0</v>
      </c>
      <c r="VZ23" s="2" cm="1">
        <f t="array" ref="VZ23">INDEX(增益!$A$2:$Q$40,VQ23,MATCH(VZ$8,增益!$B$1:$Q$1,0)+1)*$AI23</f>
        <v>0</v>
      </c>
      <c r="WA23" s="2" cm="1">
        <f t="array" ref="WA23">INDEX(增益!$A$2:$Q$40,VQ23,MATCH(WA$8,增益!$B$1:$Q$1,0)+1)*$AI23</f>
        <v>0</v>
      </c>
      <c r="WH23" s="2" cm="1">
        <f t="array" ref="WH23">INDEX(增益!$A$2:$Q$40,VQ23,MATCH(WH$8,增益!$B$1:$Q$1,0)+1)*$AI23</f>
        <v>0</v>
      </c>
      <c r="WI23" s="2" cm="1">
        <f t="array" ref="WI23">INDEX(增益!$A$2:$Q$40,VQ23,MATCH(WI$8,增益!$B$1:$Q$1,0)+1)*$AI23</f>
        <v>0</v>
      </c>
      <c r="WJ23" s="2" cm="1">
        <f t="array" ref="WJ23">INDEX(增益!$A$2:$Q$40,VQ23,MATCH(WJ$8,增益!$B$1:$Q$1,0)+1)*$AI23</f>
        <v>0</v>
      </c>
      <c r="WL23" s="2" cm="1">
        <f t="array" ref="WL23">INDEX(增益!$A$2:$Q$40,VQ23,MATCH(WL$8,增益!$B$1:$Q$1,0)+1)*$AI23</f>
        <v>0</v>
      </c>
      <c r="WN23" s="2" cm="1">
        <f t="array" ref="WN23">INDEX(增益!$A$2:$Q$40,VQ23,MATCH(WN$8,增益!$B$1:$Q$1,0)+1)*$AI23</f>
        <v>0</v>
      </c>
      <c r="WO23" s="2" cm="1">
        <f t="array" ref="WO23">INDEX(增益!$A$2:$Q$40,VQ23,MATCH(WO$8,增益!$B$1:$Q$1,0)+1)*$AI23</f>
        <v>0</v>
      </c>
    </row>
    <row r="24" spans="35:616">
      <c r="AI24" s="2">
        <f>IF(云配队!H29&gt;0,云配队!H29,1)</f>
        <v>1</v>
      </c>
      <c r="AK24" s="2" cm="1">
        <f t="array" ref="AK24">INDEX(云配队!$J29:$AC29,1,AK$1)</f>
        <v>0</v>
      </c>
      <c r="AL24" s="2">
        <f>IFERROR(MATCH(AK24,增益!$A$2:$A$40,FALSE),1)</f>
        <v>1</v>
      </c>
      <c r="AM24" s="2" cm="1">
        <f t="array" ref="AM24">INDEX(增益!$A$2:$Q$40,AL24,MATCH(AM$8,增益!$B$1:$Q$1,0)+1)*$AI24</f>
        <v>0</v>
      </c>
      <c r="AN24" s="2" cm="1">
        <f t="array" ref="AN24">INDEX(增益!$A$2:$Q$40,AL24,MATCH(AN$8,增益!$B$1:$Q$1,0)+1)*$AI24</f>
        <v>0</v>
      </c>
      <c r="AO24" s="2" cm="1">
        <f t="array" ref="AO24">INDEX(增益!$A$2:$Q$40,AL24,MATCH(AO$8,增益!$B$1:$Q$1,0)+1)*$AI24</f>
        <v>0</v>
      </c>
      <c r="AP24" s="2" cm="1">
        <f t="array" ref="AP24">INDEX(增益!$A$2:$Q$40,AL24,MATCH(AP$8,增益!$B$1:$Q$1,0)+1)*$AI24</f>
        <v>0</v>
      </c>
      <c r="AQ24" s="2" cm="1">
        <f t="array" ref="AQ24">INDEX(增益!$A$2:$Q$40,AL24,MATCH(AQ$8,增益!$B$1:$Q$1,0)+1)*$AI24</f>
        <v>0</v>
      </c>
      <c r="AR24" s="2" cm="1">
        <f t="array" ref="AR24">INDEX(增益!$A$2:$Q$40,AL24,MATCH(AR$8,增益!$B$1:$Q$1,0)+1)*$AI24</f>
        <v>0</v>
      </c>
      <c r="AS24" s="2" cm="1">
        <f t="array" ref="AS24">INDEX(增益!$A$2:$Q$40,AL24,MATCH(AS$8,增益!$B$1:$Q$1,0)+1)*$AI24</f>
        <v>0</v>
      </c>
      <c r="AT24" s="2" cm="1">
        <f t="array" ref="AT24">INDEX(增益!$A$2:$Q$40,AL24,MATCH(AT$8,增益!$B$1:$Q$1,0)+1)*$AI24</f>
        <v>0</v>
      </c>
      <c r="AU24" s="2" cm="1">
        <f t="array" ref="AU24">INDEX(增益!$A$2:$Q$40,AL24,MATCH(AU$8,增益!$B$1:$Q$1,0)+1)*$AI24</f>
        <v>0</v>
      </c>
      <c r="AV24" s="2" cm="1">
        <f t="array" ref="AV24">INDEX(增益!$A$2:$Q$40,AL24,MATCH(AV$8,增益!$B$1:$Q$1,0)+1)*$AI24</f>
        <v>0</v>
      </c>
      <c r="BC24" s="2" cm="1">
        <f t="array" ref="BC24">INDEX(增益!$A$2:$Q$40,AL24,MATCH(BC$8,增益!$B$1:$Q$1,0)+1)*$AI24</f>
        <v>0</v>
      </c>
      <c r="BD24" s="2" cm="1">
        <f t="array" ref="BD24">INDEX(增益!$A$2:$Q$40,AL24,MATCH(BD$8,增益!$B$1:$Q$1,0)+1)*$AI24</f>
        <v>0</v>
      </c>
      <c r="BE24" s="2" cm="1">
        <f t="array" ref="BE24">INDEX(增益!$A$2:$Q$40,AL24,MATCH(BE$8,增益!$B$1:$Q$1,0)+1)*$AI24</f>
        <v>0</v>
      </c>
      <c r="BG24" s="2" cm="1">
        <f t="array" ref="BG24">INDEX(增益!$A$2:$Q$40,AL24,MATCH(BG$8,增益!$B$1:$Q$1,0)+1)*$AI24</f>
        <v>0</v>
      </c>
      <c r="BI24" s="2" cm="1">
        <f t="array" ref="BI24">INDEX(增益!$A$2:$Q$40,AL24,MATCH(BI$8,增益!$B$1:$Q$1,0)+1)*$AI24</f>
        <v>0</v>
      </c>
      <c r="BJ24" s="2" cm="1">
        <f t="array" ref="BJ24">INDEX(增益!$A$2:$Q$40,AL24,MATCH(BJ$8,增益!$B$1:$Q$1,0)+1)*$AI24</f>
        <v>0</v>
      </c>
      <c r="BN24" s="2" cm="1">
        <f t="array" ref="BN24">INDEX(云配队!$J29:$AC29,1,BN$1)</f>
        <v>0</v>
      </c>
      <c r="BO24" s="2">
        <f>IFERROR(MATCH(BN24,增益!$A$2:$A$40,FALSE),1)</f>
        <v>1</v>
      </c>
      <c r="BP24" s="2" cm="1">
        <f t="array" ref="BP24">INDEX(增益!$A$2:$Q$40,BO24,MATCH(BP$8,增益!$B$1:$Q$1,0)+1)*$AI24</f>
        <v>0</v>
      </c>
      <c r="BQ24" s="2" cm="1">
        <f t="array" ref="BQ24">INDEX(增益!$A$2:$Q$40,BO24,MATCH(BQ$8,增益!$B$1:$Q$1,0)+1)*$AI24</f>
        <v>0</v>
      </c>
      <c r="BR24" s="2" cm="1">
        <f t="array" ref="BR24">INDEX(增益!$A$2:$Q$40,BO24,MATCH(BR$8,增益!$B$1:$Q$1,0)+1)*$AI24</f>
        <v>0</v>
      </c>
      <c r="BS24" s="2" cm="1">
        <f t="array" ref="BS24">INDEX(增益!$A$2:$Q$40,BO24,MATCH(BS$8,增益!$B$1:$Q$1,0)+1)*$AI24</f>
        <v>0</v>
      </c>
      <c r="BT24" s="2" cm="1">
        <f t="array" ref="BT24">INDEX(增益!$A$2:$Q$40,BO24,MATCH(BT$8,增益!$B$1:$Q$1,0)+1)*$AI24</f>
        <v>0</v>
      </c>
      <c r="BU24" s="2" cm="1">
        <f t="array" ref="BU24">INDEX(增益!$A$2:$Q$40,BO24,MATCH(BU$8,增益!$B$1:$Q$1,0)+1)*$AI24</f>
        <v>0</v>
      </c>
      <c r="BV24" s="2" cm="1">
        <f t="array" ref="BV24">INDEX(增益!$A$2:$Q$40,BO24,MATCH(BV$8,增益!$B$1:$Q$1,0)+1)*$AI24</f>
        <v>0</v>
      </c>
      <c r="BW24" s="2" cm="1">
        <f t="array" ref="BW24">INDEX(增益!$A$2:$Q$40,BO24,MATCH(BW$8,增益!$B$1:$Q$1,0)+1)*$AI24</f>
        <v>0</v>
      </c>
      <c r="BX24" s="2" cm="1">
        <f t="array" ref="BX24">INDEX(增益!$A$2:$Q$40,BO24,MATCH(BX$8,增益!$B$1:$Q$1,0)+1)*$AI24</f>
        <v>0</v>
      </c>
      <c r="BY24" s="2" cm="1">
        <f t="array" ref="BY24">INDEX(增益!$A$2:$Q$40,BO24,MATCH(BY$8,增益!$B$1:$Q$1,0)+1)*$AI24</f>
        <v>0</v>
      </c>
      <c r="CF24" s="2" cm="1">
        <f t="array" ref="CF24">INDEX(增益!$A$2:$Q$40,BO24,MATCH(CF$8,增益!$B$1:$Q$1,0)+1)*$AI24</f>
        <v>0</v>
      </c>
      <c r="CG24" s="2" cm="1">
        <f t="array" ref="CG24">INDEX(增益!$A$2:$Q$40,BO24,MATCH(CG$8,增益!$B$1:$Q$1,0)+1)*$AI24</f>
        <v>0</v>
      </c>
      <c r="CH24" s="2" cm="1">
        <f t="array" ref="CH24">INDEX(增益!$A$2:$Q$40,BO24,MATCH(CH$8,增益!$B$1:$Q$1,0)+1)*$AI24</f>
        <v>0</v>
      </c>
      <c r="CJ24" s="2" cm="1">
        <f t="array" ref="CJ24">INDEX(增益!$A$2:$Q$40,BO24,MATCH(CJ$8,增益!$B$1:$Q$1,0)+1)*$AI24</f>
        <v>0</v>
      </c>
      <c r="CL24" s="2" cm="1">
        <f t="array" ref="CL24">INDEX(增益!$A$2:$Q$40,BO24,MATCH(CL$8,增益!$B$1:$Q$1,0)+1)*$AI24</f>
        <v>0</v>
      </c>
      <c r="CM24" s="2" cm="1">
        <f t="array" ref="CM24">INDEX(增益!$A$2:$Q$40,BO24,MATCH(CM$8,增益!$B$1:$Q$1,0)+1)*$AI24</f>
        <v>0</v>
      </c>
      <c r="CQ24" s="2" cm="1">
        <f t="array" ref="CQ24">INDEX(云配队!$J29:$AC29,1,CQ$1)</f>
        <v>0</v>
      </c>
      <c r="CR24" s="2">
        <f>IFERROR(MATCH(CQ24,增益!$A$2:$A$40,FALSE),1)</f>
        <v>1</v>
      </c>
      <c r="CS24" s="2" cm="1">
        <f t="array" ref="CS24">INDEX(增益!$A$2:$Q$40,CR24,MATCH(CS$8,增益!$B$1:$Q$1,0)+1)*$AI24</f>
        <v>0</v>
      </c>
      <c r="CT24" s="2" cm="1">
        <f t="array" ref="CT24">INDEX(增益!$A$2:$Q$40,CR24,MATCH(CT$8,增益!$B$1:$Q$1,0)+1)*$AI24</f>
        <v>0</v>
      </c>
      <c r="CU24" s="2" cm="1">
        <f t="array" ref="CU24">INDEX(增益!$A$2:$Q$40,CR24,MATCH(CU$8,增益!$B$1:$Q$1,0)+1)*$AI24</f>
        <v>0</v>
      </c>
      <c r="CV24" s="2" cm="1">
        <f t="array" ref="CV24">INDEX(增益!$A$2:$Q$40,CR24,MATCH(CV$8,增益!$B$1:$Q$1,0)+1)*$AI24</f>
        <v>0</v>
      </c>
      <c r="CW24" s="2" cm="1">
        <f t="array" ref="CW24">INDEX(增益!$A$2:$Q$40,CR24,MATCH(CW$8,增益!$B$1:$Q$1,0)+1)*$AI24</f>
        <v>0</v>
      </c>
      <c r="CX24" s="2" cm="1">
        <f t="array" ref="CX24">INDEX(增益!$A$2:$Q$40,CR24,MATCH(CX$8,增益!$B$1:$Q$1,0)+1)*$AI24</f>
        <v>0</v>
      </c>
      <c r="CY24" s="2" cm="1">
        <f t="array" ref="CY24">INDEX(增益!$A$2:$Q$40,CR24,MATCH(CY$8,增益!$B$1:$Q$1,0)+1)*$AI24</f>
        <v>0</v>
      </c>
      <c r="CZ24" s="2" cm="1">
        <f t="array" ref="CZ24">INDEX(增益!$A$2:$Q$40,CR24,MATCH(CZ$8,增益!$B$1:$Q$1,0)+1)*$AI24</f>
        <v>0</v>
      </c>
      <c r="DA24" s="2" cm="1">
        <f t="array" ref="DA24">INDEX(增益!$A$2:$Q$40,CR24,MATCH(DA$8,增益!$B$1:$Q$1,0)+1)*$AI24</f>
        <v>0</v>
      </c>
      <c r="DB24" s="2" cm="1">
        <f t="array" ref="DB24">INDEX(增益!$A$2:$Q$40,CR24,MATCH(DB$8,增益!$B$1:$Q$1,0)+1)*$AI24</f>
        <v>0</v>
      </c>
      <c r="DI24" s="2" cm="1">
        <f t="array" ref="DI24">INDEX(增益!$A$2:$Q$40,CR24,MATCH(DI$8,增益!$B$1:$Q$1,0)+1)*$AI24</f>
        <v>0</v>
      </c>
      <c r="DJ24" s="2" cm="1">
        <f t="array" ref="DJ24">INDEX(增益!$A$2:$Q$40,CR24,MATCH(DJ$8,增益!$B$1:$Q$1,0)+1)*$AI24</f>
        <v>0</v>
      </c>
      <c r="DK24" s="2" cm="1">
        <f t="array" ref="DK24">INDEX(增益!$A$2:$Q$40,CR24,MATCH(DK$8,增益!$B$1:$Q$1,0)+1)*$AI24</f>
        <v>0</v>
      </c>
      <c r="DM24" s="2" cm="1">
        <f t="array" ref="DM24">INDEX(增益!$A$2:$Q$40,CR24,MATCH(DM$8,增益!$B$1:$Q$1,0)+1)*$AI24</f>
        <v>0</v>
      </c>
      <c r="DO24" s="2" cm="1">
        <f t="array" ref="DO24">INDEX(增益!$A$2:$Q$40,CR24,MATCH(DO$8,增益!$B$1:$Q$1,0)+1)*$AI24</f>
        <v>0</v>
      </c>
      <c r="DP24" s="2" cm="1">
        <f t="array" ref="DP24">INDEX(增益!$A$2:$Q$40,CR24,MATCH(DP$8,增益!$B$1:$Q$1,0)+1)*$AI24</f>
        <v>0</v>
      </c>
      <c r="DT24" s="2" cm="1">
        <f t="array" ref="DT24">INDEX(云配队!$J29:$AC29,1,DT$1)</f>
        <v>0</v>
      </c>
      <c r="DU24" s="2">
        <f>IFERROR(MATCH(DT24,增益!$A$2:$A$40,FALSE),1)</f>
        <v>1</v>
      </c>
      <c r="DV24" s="2" cm="1">
        <f t="array" ref="DV24">INDEX(增益!$A$2:$Q$40,DU24,MATCH(DV$8,增益!$B$1:$Q$1,0)+1)*$AI24</f>
        <v>0</v>
      </c>
      <c r="DW24" s="2" cm="1">
        <f t="array" ref="DW24">INDEX(增益!$A$2:$Q$40,DU24,MATCH(DW$8,增益!$B$1:$Q$1,0)+1)*$AI24</f>
        <v>0</v>
      </c>
      <c r="DX24" s="2" cm="1">
        <f t="array" ref="DX24">INDEX(增益!$A$2:$Q$40,DU24,MATCH(DX$8,增益!$B$1:$Q$1,0)+1)*$AI24</f>
        <v>0</v>
      </c>
      <c r="DY24" s="2" cm="1">
        <f t="array" ref="DY24">INDEX(增益!$A$2:$Q$40,DU24,MATCH(DY$8,增益!$B$1:$Q$1,0)+1)*$AI24</f>
        <v>0</v>
      </c>
      <c r="DZ24" s="2" cm="1">
        <f t="array" ref="DZ24">INDEX(增益!$A$2:$Q$40,DU24,MATCH(DZ$8,增益!$B$1:$Q$1,0)+1)*$AI24</f>
        <v>0</v>
      </c>
      <c r="EA24" s="2" cm="1">
        <f t="array" ref="EA24">INDEX(增益!$A$2:$Q$40,DU24,MATCH(EA$8,增益!$B$1:$Q$1,0)+1)*$AI24</f>
        <v>0</v>
      </c>
      <c r="EB24" s="2" cm="1">
        <f t="array" ref="EB24">INDEX(增益!$A$2:$Q$40,DU24,MATCH(EB$8,增益!$B$1:$Q$1,0)+1)*$AI24</f>
        <v>0</v>
      </c>
      <c r="EC24" s="2" cm="1">
        <f t="array" ref="EC24">INDEX(增益!$A$2:$Q$40,DU24,MATCH(EC$8,增益!$B$1:$Q$1,0)+1)*$AI24</f>
        <v>0</v>
      </c>
      <c r="ED24" s="2" cm="1">
        <f t="array" ref="ED24">INDEX(增益!$A$2:$Q$40,DU24,MATCH(ED$8,增益!$B$1:$Q$1,0)+1)*$AI24</f>
        <v>0</v>
      </c>
      <c r="EE24" s="2" cm="1">
        <f t="array" ref="EE24">INDEX(增益!$A$2:$Q$40,DU24,MATCH(EE$8,增益!$B$1:$Q$1,0)+1)*$AI24</f>
        <v>0</v>
      </c>
      <c r="EL24" s="2" cm="1">
        <f t="array" ref="EL24">INDEX(增益!$A$2:$Q$40,DU24,MATCH(EL$8,增益!$B$1:$Q$1,0)+1)*$AI24</f>
        <v>0</v>
      </c>
      <c r="EM24" s="2" cm="1">
        <f t="array" ref="EM24">INDEX(增益!$A$2:$Q$40,DU24,MATCH(EM$8,增益!$B$1:$Q$1,0)+1)*$AI24</f>
        <v>0</v>
      </c>
      <c r="EN24" s="2" cm="1">
        <f t="array" ref="EN24">INDEX(增益!$A$2:$Q$40,DU24,MATCH(EN$8,增益!$B$1:$Q$1,0)+1)*$AI24</f>
        <v>0</v>
      </c>
      <c r="EP24" s="2" cm="1">
        <f t="array" ref="EP24">INDEX(增益!$A$2:$Q$40,DU24,MATCH(EP$8,增益!$B$1:$Q$1,0)+1)*$AI24</f>
        <v>0</v>
      </c>
      <c r="ER24" s="2" cm="1">
        <f t="array" ref="ER24">INDEX(增益!$A$2:$Q$40,DU24,MATCH(ER$8,增益!$B$1:$Q$1,0)+1)*$AI24</f>
        <v>0</v>
      </c>
      <c r="ES24" s="2" cm="1">
        <f t="array" ref="ES24">INDEX(增益!$A$2:$Q$40,DU24,MATCH(ES$8,增益!$B$1:$Q$1,0)+1)*$AI24</f>
        <v>0</v>
      </c>
      <c r="EW24" s="2" cm="1">
        <f t="array" ref="EW24">INDEX(云配队!$J29:$AC29,1,EW$1)</f>
        <v>0</v>
      </c>
      <c r="EX24" s="2">
        <f>IFERROR(MATCH(EW24,增益!$A$2:$A$40,FALSE),1)</f>
        <v>1</v>
      </c>
      <c r="EY24" s="2" cm="1">
        <f t="array" ref="EY24">INDEX(增益!$A$2:$Q$40,EX24,MATCH(EY$8,增益!$B$1:$Q$1,0)+1)*$AI24</f>
        <v>0</v>
      </c>
      <c r="EZ24" s="2" cm="1">
        <f t="array" ref="EZ24">INDEX(增益!$A$2:$Q$40,EX24,MATCH(EZ$8,增益!$B$1:$Q$1,0)+1)*$AI24</f>
        <v>0</v>
      </c>
      <c r="FA24" s="2" cm="1">
        <f t="array" ref="FA24">INDEX(增益!$A$2:$Q$40,EX24,MATCH(FA$8,增益!$B$1:$Q$1,0)+1)*$AI24</f>
        <v>0</v>
      </c>
      <c r="FB24" s="2" cm="1">
        <f t="array" ref="FB24">INDEX(增益!$A$2:$Q$40,EX24,MATCH(FB$8,增益!$B$1:$Q$1,0)+1)*$AI24</f>
        <v>0</v>
      </c>
      <c r="FC24" s="2" cm="1">
        <f t="array" ref="FC24">INDEX(增益!$A$2:$Q$40,EX24,MATCH(FC$8,增益!$B$1:$Q$1,0)+1)*$AI24</f>
        <v>0</v>
      </c>
      <c r="FD24" s="2" cm="1">
        <f t="array" ref="FD24">INDEX(增益!$A$2:$Q$40,EX24,MATCH(FD$8,增益!$B$1:$Q$1,0)+1)*$AI24</f>
        <v>0</v>
      </c>
      <c r="FE24" s="2" cm="1">
        <f t="array" ref="FE24">INDEX(增益!$A$2:$Q$40,EX24,MATCH(FE$8,增益!$B$1:$Q$1,0)+1)*$AI24</f>
        <v>0</v>
      </c>
      <c r="FF24" s="2" cm="1">
        <f t="array" ref="FF24">INDEX(增益!$A$2:$Q$40,EX24,MATCH(FF$8,增益!$B$1:$Q$1,0)+1)*$AI24</f>
        <v>0</v>
      </c>
      <c r="FG24" s="2" cm="1">
        <f t="array" ref="FG24">INDEX(增益!$A$2:$Q$40,EX24,MATCH(FG$8,增益!$B$1:$Q$1,0)+1)*$AI24</f>
        <v>0</v>
      </c>
      <c r="FH24" s="2" cm="1">
        <f t="array" ref="FH24">INDEX(增益!$A$2:$Q$40,EX24,MATCH(FH$8,增益!$B$1:$Q$1,0)+1)*$AI24</f>
        <v>0</v>
      </c>
      <c r="FO24" s="2" cm="1">
        <f t="array" ref="FO24">INDEX(增益!$A$2:$Q$40,EX24,MATCH(FO$8,增益!$B$1:$Q$1,0)+1)*$AI24</f>
        <v>0</v>
      </c>
      <c r="FP24" s="2" cm="1">
        <f t="array" ref="FP24">INDEX(增益!$A$2:$Q$40,EX24,MATCH(FP$8,增益!$B$1:$Q$1,0)+1)*$AI24</f>
        <v>0</v>
      </c>
      <c r="FQ24" s="2" cm="1">
        <f t="array" ref="FQ24">INDEX(增益!$A$2:$Q$40,EX24,MATCH(FQ$8,增益!$B$1:$Q$1,0)+1)*$AI24</f>
        <v>0</v>
      </c>
      <c r="FS24" s="2" cm="1">
        <f t="array" ref="FS24">INDEX(增益!$A$2:$Q$40,EX24,MATCH(FS$8,增益!$B$1:$Q$1,0)+1)*$AI24</f>
        <v>0</v>
      </c>
      <c r="FU24" s="2" cm="1">
        <f t="array" ref="FU24">INDEX(增益!$A$2:$Q$40,EX24,MATCH(FU$8,增益!$B$1:$Q$1,0)+1)*$AI24</f>
        <v>0</v>
      </c>
      <c r="FV24" s="2" cm="1">
        <f t="array" ref="FV24">INDEX(增益!$A$2:$Q$40,EX24,MATCH(FV$8,增益!$B$1:$Q$1,0)+1)*$AI24</f>
        <v>0</v>
      </c>
      <c r="FZ24" s="2" cm="1">
        <f t="array" ref="FZ24">INDEX(云配队!$J29:$AC29,1,FZ$1)</f>
        <v>0</v>
      </c>
      <c r="GA24" s="2">
        <f>IFERROR(MATCH(FZ24,增益!$A$2:$A$40,FALSE),1)</f>
        <v>1</v>
      </c>
      <c r="GB24" s="2" cm="1">
        <f t="array" ref="GB24">INDEX(增益!$A$2:$Q$40,GA24,MATCH(GB$8,增益!$B$1:$Q$1,0)+1)*$AI24</f>
        <v>0</v>
      </c>
      <c r="GC24" s="2" cm="1">
        <f t="array" ref="GC24">INDEX(增益!$A$2:$Q$40,GA24,MATCH(GC$8,增益!$B$1:$Q$1,0)+1)*$AI24</f>
        <v>0</v>
      </c>
      <c r="GD24" s="2" cm="1">
        <f t="array" ref="GD24">INDEX(增益!$A$2:$Q$40,GA24,MATCH(GD$8,增益!$B$1:$Q$1,0)+1)*$AI24</f>
        <v>0</v>
      </c>
      <c r="GE24" s="2" cm="1">
        <f t="array" ref="GE24">INDEX(增益!$A$2:$Q$40,GA24,MATCH(GE$8,增益!$B$1:$Q$1,0)+1)*$AI24</f>
        <v>0</v>
      </c>
      <c r="GF24" s="2" cm="1">
        <f t="array" ref="GF24">INDEX(增益!$A$2:$Q$40,GA24,MATCH(GF$8,增益!$B$1:$Q$1,0)+1)*$AI24</f>
        <v>0</v>
      </c>
      <c r="GG24" s="2" cm="1">
        <f t="array" ref="GG24">INDEX(增益!$A$2:$Q$40,GA24,MATCH(GG$8,增益!$B$1:$Q$1,0)+1)*$AI24</f>
        <v>0</v>
      </c>
      <c r="GH24" s="2" cm="1">
        <f t="array" ref="GH24">INDEX(增益!$A$2:$Q$40,GA24,MATCH(GH$8,增益!$B$1:$Q$1,0)+1)*$AI24</f>
        <v>0</v>
      </c>
      <c r="GI24" s="2" cm="1">
        <f t="array" ref="GI24">INDEX(增益!$A$2:$Q$40,GA24,MATCH(GI$8,增益!$B$1:$Q$1,0)+1)*$AI24</f>
        <v>0</v>
      </c>
      <c r="GJ24" s="2" cm="1">
        <f t="array" ref="GJ24">INDEX(增益!$A$2:$Q$40,GA24,MATCH(GJ$8,增益!$B$1:$Q$1,0)+1)*$AI24</f>
        <v>0</v>
      </c>
      <c r="GK24" s="2" cm="1">
        <f t="array" ref="GK24">INDEX(增益!$A$2:$Q$40,GA24,MATCH(GK$8,增益!$B$1:$Q$1,0)+1)*$AI24</f>
        <v>0</v>
      </c>
      <c r="GR24" s="2" cm="1">
        <f t="array" ref="GR24">INDEX(增益!$A$2:$Q$40,GA24,MATCH(GR$8,增益!$B$1:$Q$1,0)+1)*$AI24</f>
        <v>0</v>
      </c>
      <c r="GS24" s="2" cm="1">
        <f t="array" ref="GS24">INDEX(增益!$A$2:$Q$40,GA24,MATCH(GS$8,增益!$B$1:$Q$1,0)+1)*$AI24</f>
        <v>0</v>
      </c>
      <c r="GT24" s="2" cm="1">
        <f t="array" ref="GT24">INDEX(增益!$A$2:$Q$40,GA24,MATCH(GT$8,增益!$B$1:$Q$1,0)+1)*$AI24</f>
        <v>0</v>
      </c>
      <c r="GV24" s="2" cm="1">
        <f t="array" ref="GV24">INDEX(增益!$A$2:$Q$40,GA24,MATCH(GV$8,增益!$B$1:$Q$1,0)+1)*$AI24</f>
        <v>0</v>
      </c>
      <c r="GX24" s="2" cm="1">
        <f t="array" ref="GX24">INDEX(增益!$A$2:$Q$40,GA24,MATCH(GX$8,增益!$B$1:$Q$1,0)+1)*$AI24</f>
        <v>0</v>
      </c>
      <c r="GY24" s="2" cm="1">
        <f t="array" ref="GY24">INDEX(增益!$A$2:$Q$40,GA24,MATCH(GY$8,增益!$B$1:$Q$1,0)+1)*$AI24</f>
        <v>0</v>
      </c>
      <c r="HC24" s="2" cm="1">
        <f t="array" ref="HC24">INDEX(云配队!$J29:$AC29,1,HC$1)</f>
        <v>0</v>
      </c>
      <c r="HD24" s="2">
        <f>IFERROR(MATCH(HC24,增益!$A$2:$A$40,FALSE),1)</f>
        <v>1</v>
      </c>
      <c r="HE24" s="2" cm="1">
        <f t="array" ref="HE24">INDEX(增益!$A$2:$Q$40,HD24,MATCH(HE$8,增益!$B$1:$Q$1,0)+1)*$AI24</f>
        <v>0</v>
      </c>
      <c r="HF24" s="2" cm="1">
        <f t="array" ref="HF24">INDEX(增益!$A$2:$Q$40,HD24,MATCH(HF$8,增益!$B$1:$Q$1,0)+1)*$AI24</f>
        <v>0</v>
      </c>
      <c r="HG24" s="2" cm="1">
        <f t="array" ref="HG24">INDEX(增益!$A$2:$Q$40,HD24,MATCH(HG$8,增益!$B$1:$Q$1,0)+1)*$AI24</f>
        <v>0</v>
      </c>
      <c r="HH24" s="2" cm="1">
        <f t="array" ref="HH24">INDEX(增益!$A$2:$Q$40,HD24,MATCH(HH$8,增益!$B$1:$Q$1,0)+1)*$AI24</f>
        <v>0</v>
      </c>
      <c r="HI24" s="2" cm="1">
        <f t="array" ref="HI24">INDEX(增益!$A$2:$Q$40,HD24,MATCH(HI$8,增益!$B$1:$Q$1,0)+1)*$AI24</f>
        <v>0</v>
      </c>
      <c r="HJ24" s="2" cm="1">
        <f t="array" ref="HJ24">INDEX(增益!$A$2:$Q$40,HD24,MATCH(HJ$8,增益!$B$1:$Q$1,0)+1)*$AI24</f>
        <v>0</v>
      </c>
      <c r="HK24" s="2" cm="1">
        <f t="array" ref="HK24">INDEX(增益!$A$2:$Q$40,HD24,MATCH(HK$8,增益!$B$1:$Q$1,0)+1)*$AI24</f>
        <v>0</v>
      </c>
      <c r="HL24" s="2" cm="1">
        <f t="array" ref="HL24">INDEX(增益!$A$2:$Q$40,HD24,MATCH(HL$8,增益!$B$1:$Q$1,0)+1)*$AI24</f>
        <v>0</v>
      </c>
      <c r="HM24" s="2" cm="1">
        <f t="array" ref="HM24">INDEX(增益!$A$2:$Q$40,HD24,MATCH(HM$8,增益!$B$1:$Q$1,0)+1)*$AI24</f>
        <v>0</v>
      </c>
      <c r="HN24" s="2" cm="1">
        <f t="array" ref="HN24">INDEX(增益!$A$2:$Q$40,HD24,MATCH(HN$8,增益!$B$1:$Q$1,0)+1)*$AI24</f>
        <v>0</v>
      </c>
      <c r="HU24" s="2" cm="1">
        <f t="array" ref="HU24">INDEX(增益!$A$2:$Q$40,HD24,MATCH(HU$8,增益!$B$1:$Q$1,0)+1)*$AI24</f>
        <v>0</v>
      </c>
      <c r="HV24" s="2" cm="1">
        <f t="array" ref="HV24">INDEX(增益!$A$2:$Q$40,HD24,MATCH(HV$8,增益!$B$1:$Q$1,0)+1)*$AI24</f>
        <v>0</v>
      </c>
      <c r="HW24" s="2" cm="1">
        <f t="array" ref="HW24">INDEX(增益!$A$2:$Q$40,HD24,MATCH(HW$8,增益!$B$1:$Q$1,0)+1)*$AI24</f>
        <v>0</v>
      </c>
      <c r="HY24" s="2" cm="1">
        <f t="array" ref="HY24">INDEX(增益!$A$2:$Q$40,HD24,MATCH(HY$8,增益!$B$1:$Q$1,0)+1)*$AI24</f>
        <v>0</v>
      </c>
      <c r="IA24" s="2" cm="1">
        <f t="array" ref="IA24">INDEX(增益!$A$2:$Q$40,HD24,MATCH(IA$8,增益!$B$1:$Q$1,0)+1)*$AI24</f>
        <v>0</v>
      </c>
      <c r="IB24" s="2" cm="1">
        <f t="array" ref="IB24">INDEX(增益!$A$2:$Q$40,HD24,MATCH(IB$8,增益!$B$1:$Q$1,0)+1)*$AI24</f>
        <v>0</v>
      </c>
      <c r="IF24" s="2" cm="1">
        <f t="array" ref="IF24">INDEX(云配队!$J29:$AC29,1,IF$1)</f>
        <v>0</v>
      </c>
      <c r="IG24" s="2">
        <f>IFERROR(MATCH(IF24,增益!$A$2:$A$40,FALSE),1)</f>
        <v>1</v>
      </c>
      <c r="IH24" s="2" cm="1">
        <f t="array" ref="IH24">INDEX(增益!$A$2:$Q$40,IG24,MATCH(IH$8,增益!$B$1:$Q$1,0)+1)*$AI24</f>
        <v>0</v>
      </c>
      <c r="II24" s="2" cm="1">
        <f t="array" ref="II24">INDEX(增益!$A$2:$Q$40,IG24,MATCH(II$8,增益!$B$1:$Q$1,0)+1)*$AI24</f>
        <v>0</v>
      </c>
      <c r="IJ24" s="2" cm="1">
        <f t="array" ref="IJ24">INDEX(增益!$A$2:$Q$40,IG24,MATCH(IJ$8,增益!$B$1:$Q$1,0)+1)*$AI24</f>
        <v>0</v>
      </c>
      <c r="IK24" s="2" cm="1">
        <f t="array" ref="IK24">INDEX(增益!$A$2:$Q$40,IG24,MATCH(IK$8,增益!$B$1:$Q$1,0)+1)*$AI24</f>
        <v>0</v>
      </c>
      <c r="IL24" s="2" cm="1">
        <f t="array" ref="IL24">INDEX(增益!$A$2:$Q$40,IG24,MATCH(IL$8,增益!$B$1:$Q$1,0)+1)*$AI24</f>
        <v>0</v>
      </c>
      <c r="IM24" s="2" cm="1">
        <f t="array" ref="IM24">INDEX(增益!$A$2:$Q$40,IG24,MATCH(IM$8,增益!$B$1:$Q$1,0)+1)*$AI24</f>
        <v>0</v>
      </c>
      <c r="IN24" s="2" cm="1">
        <f t="array" ref="IN24">INDEX(增益!$A$2:$Q$40,IG24,MATCH(IN$8,增益!$B$1:$Q$1,0)+1)*$AI24</f>
        <v>0</v>
      </c>
      <c r="IO24" s="2" cm="1">
        <f t="array" ref="IO24">INDEX(增益!$A$2:$Q$40,IG24,MATCH(IO$8,增益!$B$1:$Q$1,0)+1)*$AI24</f>
        <v>0</v>
      </c>
      <c r="IP24" s="2" cm="1">
        <f t="array" ref="IP24">INDEX(增益!$A$2:$Q$40,IG24,MATCH(IP$8,增益!$B$1:$Q$1,0)+1)*$AI24</f>
        <v>0</v>
      </c>
      <c r="IQ24" s="2" cm="1">
        <f t="array" ref="IQ24">INDEX(增益!$A$2:$Q$40,IG24,MATCH(IQ$8,增益!$B$1:$Q$1,0)+1)*$AI24</f>
        <v>0</v>
      </c>
      <c r="IX24" s="2" cm="1">
        <f t="array" ref="IX24">INDEX(增益!$A$2:$Q$40,IG24,MATCH(IX$8,增益!$B$1:$Q$1,0)+1)*$AI24</f>
        <v>0</v>
      </c>
      <c r="IY24" s="2" cm="1">
        <f t="array" ref="IY24">INDEX(增益!$A$2:$Q$40,IG24,MATCH(IY$8,增益!$B$1:$Q$1,0)+1)*$AI24</f>
        <v>0</v>
      </c>
      <c r="IZ24" s="2" cm="1">
        <f t="array" ref="IZ24">INDEX(增益!$A$2:$Q$40,IG24,MATCH(IZ$8,增益!$B$1:$Q$1,0)+1)*$AI24</f>
        <v>0</v>
      </c>
      <c r="JB24" s="2" cm="1">
        <f t="array" ref="JB24">INDEX(增益!$A$2:$Q$40,IG24,MATCH(JB$8,增益!$B$1:$Q$1,0)+1)*$AI24</f>
        <v>0</v>
      </c>
      <c r="JD24" s="2" cm="1">
        <f t="array" ref="JD24">INDEX(增益!$A$2:$Q$40,IG24,MATCH(JD$8,增益!$B$1:$Q$1,0)+1)*$AI24</f>
        <v>0</v>
      </c>
      <c r="JE24" s="2" cm="1">
        <f t="array" ref="JE24">INDEX(增益!$A$2:$Q$40,IG24,MATCH(JE$8,增益!$B$1:$Q$1,0)+1)*$AI24</f>
        <v>0</v>
      </c>
      <c r="JI24" s="2" cm="1">
        <f t="array" ref="JI24">INDEX(云配队!$J29:$AC29,1,JI$1)</f>
        <v>0</v>
      </c>
      <c r="JJ24" s="2">
        <f>IFERROR(MATCH(JI24,增益!$A$2:$A$40,FALSE),1)</f>
        <v>1</v>
      </c>
      <c r="JK24" s="2" cm="1">
        <f t="array" ref="JK24">INDEX(增益!$A$2:$Q$40,JJ24,MATCH(JK$8,增益!$B$1:$Q$1,0)+1)*$AI24</f>
        <v>0</v>
      </c>
      <c r="JL24" s="2" cm="1">
        <f t="array" ref="JL24">INDEX(增益!$A$2:$Q$40,JJ24,MATCH(JL$8,增益!$B$1:$Q$1,0)+1)*$AI24</f>
        <v>0</v>
      </c>
      <c r="JM24" s="2" cm="1">
        <f t="array" ref="JM24">INDEX(增益!$A$2:$Q$40,JJ24,MATCH(JM$8,增益!$B$1:$Q$1,0)+1)*$AI24</f>
        <v>0</v>
      </c>
      <c r="JN24" s="2" cm="1">
        <f t="array" ref="JN24">INDEX(增益!$A$2:$Q$40,JJ24,MATCH(JN$8,增益!$B$1:$Q$1,0)+1)*$AI24</f>
        <v>0</v>
      </c>
      <c r="JO24" s="2" cm="1">
        <f t="array" ref="JO24">INDEX(增益!$A$2:$Q$40,JJ24,MATCH(JO$8,增益!$B$1:$Q$1,0)+1)*$AI24</f>
        <v>0</v>
      </c>
      <c r="JP24" s="2" cm="1">
        <f t="array" ref="JP24">INDEX(增益!$A$2:$Q$40,JJ24,MATCH(JP$8,增益!$B$1:$Q$1,0)+1)*$AI24</f>
        <v>0</v>
      </c>
      <c r="JQ24" s="2" cm="1">
        <f t="array" ref="JQ24">INDEX(增益!$A$2:$Q$40,JJ24,MATCH(JQ$8,增益!$B$1:$Q$1,0)+1)*$AI24</f>
        <v>0</v>
      </c>
      <c r="JR24" s="2" cm="1">
        <f t="array" ref="JR24">INDEX(增益!$A$2:$Q$40,JJ24,MATCH(JR$8,增益!$B$1:$Q$1,0)+1)*$AI24</f>
        <v>0</v>
      </c>
      <c r="JS24" s="2" cm="1">
        <f t="array" ref="JS24">INDEX(增益!$A$2:$Q$40,JJ24,MATCH(JS$8,增益!$B$1:$Q$1,0)+1)*$AI24</f>
        <v>0</v>
      </c>
      <c r="JT24" s="2" cm="1">
        <f t="array" ref="JT24">INDEX(增益!$A$2:$Q$40,JJ24,MATCH(JT$8,增益!$B$1:$Q$1,0)+1)*$AI24</f>
        <v>0</v>
      </c>
      <c r="KA24" s="2" cm="1">
        <f t="array" ref="KA24">INDEX(增益!$A$2:$Q$40,JJ24,MATCH(KA$8,增益!$B$1:$Q$1,0)+1)*$AI24</f>
        <v>0</v>
      </c>
      <c r="KB24" s="2" cm="1">
        <f t="array" ref="KB24">INDEX(增益!$A$2:$Q$40,JJ24,MATCH(KB$8,增益!$B$1:$Q$1,0)+1)*$AI24</f>
        <v>0</v>
      </c>
      <c r="KC24" s="2" cm="1">
        <f t="array" ref="KC24">INDEX(增益!$A$2:$Q$40,JJ24,MATCH(KC$8,增益!$B$1:$Q$1,0)+1)*$AI24</f>
        <v>0</v>
      </c>
      <c r="KE24" s="2" cm="1">
        <f t="array" ref="KE24">INDEX(增益!$A$2:$Q$40,JJ24,MATCH(KE$8,增益!$B$1:$Q$1,0)+1)*$AI24</f>
        <v>0</v>
      </c>
      <c r="KG24" s="2" cm="1">
        <f t="array" ref="KG24">INDEX(增益!$A$2:$Q$40,JJ24,MATCH(KG$8,增益!$B$1:$Q$1,0)+1)*$AI24</f>
        <v>0</v>
      </c>
      <c r="KH24" s="2" cm="1">
        <f t="array" ref="KH24">INDEX(增益!$A$2:$Q$40,JJ24,MATCH(KH$8,增益!$B$1:$Q$1,0)+1)*$AI24</f>
        <v>0</v>
      </c>
      <c r="KL24" s="2" cm="1">
        <f t="array" ref="KL24">INDEX(云配队!$J29:$AC29,1,KL$1)</f>
        <v>0</v>
      </c>
      <c r="KM24" s="2">
        <f>IFERROR(MATCH(KL24,增益!$A$2:$A$40,FALSE),1)</f>
        <v>1</v>
      </c>
      <c r="KN24" s="2" cm="1">
        <f t="array" ref="KN24">INDEX(增益!$A$2:$Q$40,KM24,MATCH(KN$8,增益!$B$1:$Q$1,0)+1)*$AI24</f>
        <v>0</v>
      </c>
      <c r="KO24" s="2" cm="1">
        <f t="array" ref="KO24">INDEX(增益!$A$2:$Q$40,KM24,MATCH(KO$8,增益!$B$1:$Q$1,0)+1)*$AI24</f>
        <v>0</v>
      </c>
      <c r="KP24" s="2" cm="1">
        <f t="array" ref="KP24">INDEX(增益!$A$2:$Q$40,KM24,MATCH(KP$8,增益!$B$1:$Q$1,0)+1)*$AI24</f>
        <v>0</v>
      </c>
      <c r="KQ24" s="2" cm="1">
        <f t="array" ref="KQ24">INDEX(增益!$A$2:$Q$40,KM24,MATCH(KQ$8,增益!$B$1:$Q$1,0)+1)*$AI24</f>
        <v>0</v>
      </c>
      <c r="KR24" s="2" cm="1">
        <f t="array" ref="KR24">INDEX(增益!$A$2:$Q$40,KM24,MATCH(KR$8,增益!$B$1:$Q$1,0)+1)*$AI24</f>
        <v>0</v>
      </c>
      <c r="KS24" s="2" cm="1">
        <f t="array" ref="KS24">INDEX(增益!$A$2:$Q$40,KM24,MATCH(KS$8,增益!$B$1:$Q$1,0)+1)*$AI24</f>
        <v>0</v>
      </c>
      <c r="KT24" s="2" cm="1">
        <f t="array" ref="KT24">INDEX(增益!$A$2:$Q$40,KM24,MATCH(KT$8,增益!$B$1:$Q$1,0)+1)*$AI24</f>
        <v>0</v>
      </c>
      <c r="KU24" s="2" cm="1">
        <f t="array" ref="KU24">INDEX(增益!$A$2:$Q$40,KM24,MATCH(KU$8,增益!$B$1:$Q$1,0)+1)*$AI24</f>
        <v>0</v>
      </c>
      <c r="KV24" s="2" cm="1">
        <f t="array" ref="KV24">INDEX(增益!$A$2:$Q$40,KM24,MATCH(KV$8,增益!$B$1:$Q$1,0)+1)*$AI24</f>
        <v>0</v>
      </c>
      <c r="KW24" s="2" cm="1">
        <f t="array" ref="KW24">INDEX(增益!$A$2:$Q$40,KM24,MATCH(KW$8,增益!$B$1:$Q$1,0)+1)*$AI24</f>
        <v>0</v>
      </c>
      <c r="LD24" s="2" cm="1">
        <f t="array" ref="LD24">INDEX(增益!$A$2:$Q$40,KM24,MATCH(LD$8,增益!$B$1:$Q$1,0)+1)*$AI24</f>
        <v>0</v>
      </c>
      <c r="LE24" s="2" cm="1">
        <f t="array" ref="LE24">INDEX(增益!$A$2:$Q$40,KM24,MATCH(LE$8,增益!$B$1:$Q$1,0)+1)*$AI24</f>
        <v>0</v>
      </c>
      <c r="LF24" s="2" cm="1">
        <f t="array" ref="LF24">INDEX(增益!$A$2:$Q$40,KM24,MATCH(LF$8,增益!$B$1:$Q$1,0)+1)*$AI24</f>
        <v>0</v>
      </c>
      <c r="LH24" s="2" cm="1">
        <f t="array" ref="LH24">INDEX(增益!$A$2:$Q$40,KM24,MATCH(LH$8,增益!$B$1:$Q$1,0)+1)*$AI24</f>
        <v>0</v>
      </c>
      <c r="LJ24" s="2" cm="1">
        <f t="array" ref="LJ24">INDEX(增益!$A$2:$Q$40,KM24,MATCH(LJ$8,增益!$B$1:$Q$1,0)+1)*$AI24</f>
        <v>0</v>
      </c>
      <c r="LK24" s="2" cm="1">
        <f t="array" ref="LK24">INDEX(增益!$A$2:$Q$40,KM24,MATCH(LK$8,增益!$B$1:$Q$1,0)+1)*$AI24</f>
        <v>0</v>
      </c>
      <c r="LO24" s="2" cm="1">
        <f t="array" ref="LO24">INDEX(云配队!$J29:$AC29,1,LO$1)</f>
        <v>0</v>
      </c>
      <c r="LP24" s="2">
        <f>IFERROR(MATCH(LO24,增益!$A$2:$A$40,FALSE),1)</f>
        <v>1</v>
      </c>
      <c r="LQ24" s="2" cm="1">
        <f t="array" ref="LQ24">INDEX(增益!$A$2:$Q$40,LP24,MATCH(LQ$8,增益!$B$1:$Q$1,0)+1)*$AI24</f>
        <v>0</v>
      </c>
      <c r="LR24" s="2" cm="1">
        <f t="array" ref="LR24">INDEX(增益!$A$2:$Q$40,LP24,MATCH(LR$8,增益!$B$1:$Q$1,0)+1)*$AI24</f>
        <v>0</v>
      </c>
      <c r="LS24" s="2" cm="1">
        <f t="array" ref="LS24">INDEX(增益!$A$2:$Q$40,LP24,MATCH(LS$8,增益!$B$1:$Q$1,0)+1)*$AI24</f>
        <v>0</v>
      </c>
      <c r="LT24" s="2" cm="1">
        <f t="array" ref="LT24">INDEX(增益!$A$2:$Q$40,LP24,MATCH(LT$8,增益!$B$1:$Q$1,0)+1)*$AI24</f>
        <v>0</v>
      </c>
      <c r="LU24" s="2" cm="1">
        <f t="array" ref="LU24">INDEX(增益!$A$2:$Q$40,LP24,MATCH(LU$8,增益!$B$1:$Q$1,0)+1)*$AI24</f>
        <v>0</v>
      </c>
      <c r="LV24" s="2" cm="1">
        <f t="array" ref="LV24">INDEX(增益!$A$2:$Q$40,LP24,MATCH(LV$8,增益!$B$1:$Q$1,0)+1)*$AI24</f>
        <v>0</v>
      </c>
      <c r="LW24" s="2" cm="1">
        <f t="array" ref="LW24">INDEX(增益!$A$2:$Q$40,LP24,MATCH(LW$8,增益!$B$1:$Q$1,0)+1)*$AI24</f>
        <v>0</v>
      </c>
      <c r="LX24" s="2" cm="1">
        <f t="array" ref="LX24">INDEX(增益!$A$2:$Q$40,LP24,MATCH(LX$8,增益!$B$1:$Q$1,0)+1)*$AI24</f>
        <v>0</v>
      </c>
      <c r="LY24" s="2" cm="1">
        <f t="array" ref="LY24">INDEX(增益!$A$2:$Q$40,LP24,MATCH(LY$8,增益!$B$1:$Q$1,0)+1)*$AI24</f>
        <v>0</v>
      </c>
      <c r="LZ24" s="2" cm="1">
        <f t="array" ref="LZ24">INDEX(增益!$A$2:$Q$40,LP24,MATCH(LZ$8,增益!$B$1:$Q$1,0)+1)*$AI24</f>
        <v>0</v>
      </c>
      <c r="MG24" s="2" cm="1">
        <f t="array" ref="MG24">INDEX(增益!$A$2:$Q$40,LP24,MATCH(MG$8,增益!$B$1:$Q$1,0)+1)*$AI24</f>
        <v>0</v>
      </c>
      <c r="MH24" s="2" cm="1">
        <f t="array" ref="MH24">INDEX(增益!$A$2:$Q$40,LP24,MATCH(MH$8,增益!$B$1:$Q$1,0)+1)*$AI24</f>
        <v>0</v>
      </c>
      <c r="MI24" s="2" cm="1">
        <f t="array" ref="MI24">INDEX(增益!$A$2:$Q$40,LP24,MATCH(MI$8,增益!$B$1:$Q$1,0)+1)*$AI24</f>
        <v>0</v>
      </c>
      <c r="MK24" s="2" cm="1">
        <f t="array" ref="MK24">INDEX(增益!$A$2:$Q$40,LP24,MATCH(MK$8,增益!$B$1:$Q$1,0)+1)*$AI24</f>
        <v>0</v>
      </c>
      <c r="MM24" s="2" cm="1">
        <f t="array" ref="MM24">INDEX(增益!$A$2:$Q$40,LP24,MATCH(MM$8,增益!$B$1:$Q$1,0)+1)*$AI24</f>
        <v>0</v>
      </c>
      <c r="MN24" s="2" cm="1">
        <f t="array" ref="MN24">INDEX(增益!$A$2:$Q$40,LP24,MATCH(MN$8,增益!$B$1:$Q$1,0)+1)*$AI24</f>
        <v>0</v>
      </c>
      <c r="MR24" s="2" cm="1">
        <f t="array" ref="MR24">INDEX(云配队!$J29:$AC29,1,MR$1)</f>
        <v>0</v>
      </c>
      <c r="MS24" s="2">
        <f>IFERROR(MATCH(MR24,增益!$A$2:$A$40,FALSE),1)</f>
        <v>1</v>
      </c>
      <c r="MT24" s="2" cm="1">
        <f t="array" ref="MT24">INDEX(增益!$A$2:$Q$40,MS24,MATCH(MT$8,增益!$B$1:$Q$1,0)+1)*$AI24</f>
        <v>0</v>
      </c>
      <c r="MU24" s="2" cm="1">
        <f t="array" ref="MU24">INDEX(增益!$A$2:$Q$40,MS24,MATCH(MU$8,增益!$B$1:$Q$1,0)+1)*$AI24</f>
        <v>0</v>
      </c>
      <c r="MV24" s="2" cm="1">
        <f t="array" ref="MV24">INDEX(增益!$A$2:$Q$40,MS24,MATCH(MV$8,增益!$B$1:$Q$1,0)+1)*$AI24</f>
        <v>0</v>
      </c>
      <c r="MW24" s="2" cm="1">
        <f t="array" ref="MW24">INDEX(增益!$A$2:$Q$40,MS24,MATCH(MW$8,增益!$B$1:$Q$1,0)+1)*$AI24</f>
        <v>0</v>
      </c>
      <c r="MX24" s="2" cm="1">
        <f t="array" ref="MX24">INDEX(增益!$A$2:$Q$40,MS24,MATCH(MX$8,增益!$B$1:$Q$1,0)+1)*$AI24</f>
        <v>0</v>
      </c>
      <c r="MY24" s="2" cm="1">
        <f t="array" ref="MY24">INDEX(增益!$A$2:$Q$40,MS24,MATCH(MY$8,增益!$B$1:$Q$1,0)+1)*$AI24</f>
        <v>0</v>
      </c>
      <c r="MZ24" s="2" cm="1">
        <f t="array" ref="MZ24">INDEX(增益!$A$2:$Q$40,MS24,MATCH(MZ$8,增益!$B$1:$Q$1,0)+1)*$AI24</f>
        <v>0</v>
      </c>
      <c r="NA24" s="2" cm="1">
        <f t="array" ref="NA24">INDEX(增益!$A$2:$Q$40,MS24,MATCH(NA$8,增益!$B$1:$Q$1,0)+1)*$AI24</f>
        <v>0</v>
      </c>
      <c r="NB24" s="2" cm="1">
        <f t="array" ref="NB24">INDEX(增益!$A$2:$Q$40,MS24,MATCH(NB$8,增益!$B$1:$Q$1,0)+1)*$AI24</f>
        <v>0</v>
      </c>
      <c r="NC24" s="2" cm="1">
        <f t="array" ref="NC24">INDEX(增益!$A$2:$Q$40,MS24,MATCH(NC$8,增益!$B$1:$Q$1,0)+1)*$AI24</f>
        <v>0</v>
      </c>
      <c r="NJ24" s="2" cm="1">
        <f t="array" ref="NJ24">INDEX(增益!$A$2:$Q$40,MS24,MATCH(NJ$8,增益!$B$1:$Q$1,0)+1)*$AI24</f>
        <v>0</v>
      </c>
      <c r="NK24" s="2" cm="1">
        <f t="array" ref="NK24">INDEX(增益!$A$2:$Q$40,MS24,MATCH(NK$8,增益!$B$1:$Q$1,0)+1)*$AI24</f>
        <v>0</v>
      </c>
      <c r="NL24" s="2" cm="1">
        <f t="array" ref="NL24">INDEX(增益!$A$2:$Q$40,MS24,MATCH(NL$8,增益!$B$1:$Q$1,0)+1)*$AI24</f>
        <v>0</v>
      </c>
      <c r="NN24" s="2" cm="1">
        <f t="array" ref="NN24">INDEX(增益!$A$2:$Q$40,MS24,MATCH(NN$8,增益!$B$1:$Q$1,0)+1)*$AI24</f>
        <v>0</v>
      </c>
      <c r="NP24" s="2" cm="1">
        <f t="array" ref="NP24">INDEX(增益!$A$2:$Q$40,MS24,MATCH(NP$8,增益!$B$1:$Q$1,0)+1)*$AI24</f>
        <v>0</v>
      </c>
      <c r="NQ24" s="2" cm="1">
        <f t="array" ref="NQ24">INDEX(增益!$A$2:$Q$40,MS24,MATCH(NQ$8,增益!$B$1:$Q$1,0)+1)*$AI24</f>
        <v>0</v>
      </c>
      <c r="NU24" s="2" cm="1">
        <f t="array" ref="NU24">INDEX(云配队!$J29:$AC29,1,NU$1)</f>
        <v>0</v>
      </c>
      <c r="NV24" s="2">
        <f>IFERROR(MATCH(NU24,增益!$A$2:$A$40,FALSE),1)</f>
        <v>1</v>
      </c>
      <c r="NW24" s="2" cm="1">
        <f t="array" ref="NW24">INDEX(增益!$A$2:$Q$40,NV24,MATCH(NW$8,增益!$B$1:$Q$1,0)+1)*$AI24</f>
        <v>0</v>
      </c>
      <c r="NX24" s="2" cm="1">
        <f t="array" ref="NX24">INDEX(增益!$A$2:$Q$40,NV24,MATCH(NX$8,增益!$B$1:$Q$1,0)+1)*$AI24</f>
        <v>0</v>
      </c>
      <c r="NY24" s="2" cm="1">
        <f t="array" ref="NY24">INDEX(增益!$A$2:$Q$40,NV24,MATCH(NY$8,增益!$B$1:$Q$1,0)+1)*$AI24</f>
        <v>0</v>
      </c>
      <c r="NZ24" s="2" cm="1">
        <f t="array" ref="NZ24">INDEX(增益!$A$2:$Q$40,NV24,MATCH(NZ$8,增益!$B$1:$Q$1,0)+1)*$AI24</f>
        <v>0</v>
      </c>
      <c r="OA24" s="2" cm="1">
        <f t="array" ref="OA24">INDEX(增益!$A$2:$Q$40,NV24,MATCH(OA$8,增益!$B$1:$Q$1,0)+1)*$AI24</f>
        <v>0</v>
      </c>
      <c r="OB24" s="2" cm="1">
        <f t="array" ref="OB24">INDEX(增益!$A$2:$Q$40,NV24,MATCH(OB$8,增益!$B$1:$Q$1,0)+1)*$AI24</f>
        <v>0</v>
      </c>
      <c r="OC24" s="2" cm="1">
        <f t="array" ref="OC24">INDEX(增益!$A$2:$Q$40,NV24,MATCH(OC$8,增益!$B$1:$Q$1,0)+1)*$AI24</f>
        <v>0</v>
      </c>
      <c r="OD24" s="2" cm="1">
        <f t="array" ref="OD24">INDEX(增益!$A$2:$Q$40,NV24,MATCH(OD$8,增益!$B$1:$Q$1,0)+1)*$AI24</f>
        <v>0</v>
      </c>
      <c r="OE24" s="2" cm="1">
        <f t="array" ref="OE24">INDEX(增益!$A$2:$Q$40,NV24,MATCH(OE$8,增益!$B$1:$Q$1,0)+1)*$AI24</f>
        <v>0</v>
      </c>
      <c r="OF24" s="2" cm="1">
        <f t="array" ref="OF24">INDEX(增益!$A$2:$Q$40,NV24,MATCH(OF$8,增益!$B$1:$Q$1,0)+1)*$AI24</f>
        <v>0</v>
      </c>
      <c r="OM24" s="2" cm="1">
        <f t="array" ref="OM24">INDEX(增益!$A$2:$Q$40,NV24,MATCH(OM$8,增益!$B$1:$Q$1,0)+1)*$AI24</f>
        <v>0</v>
      </c>
      <c r="ON24" s="2" cm="1">
        <f t="array" ref="ON24">INDEX(增益!$A$2:$Q$40,NV24,MATCH(ON$8,增益!$B$1:$Q$1,0)+1)*$AI24</f>
        <v>0</v>
      </c>
      <c r="OO24" s="2" cm="1">
        <f t="array" ref="OO24">INDEX(增益!$A$2:$Q$40,NV24,MATCH(OO$8,增益!$B$1:$Q$1,0)+1)*$AI24</f>
        <v>0</v>
      </c>
      <c r="OQ24" s="2" cm="1">
        <f t="array" ref="OQ24">INDEX(增益!$A$2:$Q$40,NV24,MATCH(OQ$8,增益!$B$1:$Q$1,0)+1)*$AI24</f>
        <v>0</v>
      </c>
      <c r="OS24" s="2" cm="1">
        <f t="array" ref="OS24">INDEX(增益!$A$2:$Q$40,NV24,MATCH(OS$8,增益!$B$1:$Q$1,0)+1)*$AI24</f>
        <v>0</v>
      </c>
      <c r="OT24" s="2" cm="1">
        <f t="array" ref="OT24">INDEX(增益!$A$2:$Q$40,NV24,MATCH(OT$8,增益!$B$1:$Q$1,0)+1)*$AI24</f>
        <v>0</v>
      </c>
      <c r="OX24" s="2" cm="1">
        <f t="array" ref="OX24">INDEX(云配队!$J29:$AC29,1,OX$1)</f>
        <v>0</v>
      </c>
      <c r="OY24" s="2">
        <f>IFERROR(MATCH(OX24,增益!$A$2:$A$40,FALSE),1)</f>
        <v>1</v>
      </c>
      <c r="OZ24" s="2" cm="1">
        <f t="array" ref="OZ24">INDEX(增益!$A$2:$Q$40,OY24,MATCH(OZ$8,增益!$B$1:$Q$1,0)+1)*$AI24</f>
        <v>0</v>
      </c>
      <c r="PA24" s="2" cm="1">
        <f t="array" ref="PA24">INDEX(增益!$A$2:$Q$40,OY24,MATCH(PA$8,增益!$B$1:$Q$1,0)+1)*$AI24</f>
        <v>0</v>
      </c>
      <c r="PB24" s="2" cm="1">
        <f t="array" ref="PB24">INDEX(增益!$A$2:$Q$40,OY24,MATCH(PB$8,增益!$B$1:$Q$1,0)+1)*$AI24</f>
        <v>0</v>
      </c>
      <c r="PC24" s="2" cm="1">
        <f t="array" ref="PC24">INDEX(增益!$A$2:$Q$40,OY24,MATCH(PC$8,增益!$B$1:$Q$1,0)+1)*$AI24</f>
        <v>0</v>
      </c>
      <c r="PD24" s="2" cm="1">
        <f t="array" ref="PD24">INDEX(增益!$A$2:$Q$40,OY24,MATCH(PD$8,增益!$B$1:$Q$1,0)+1)*$AI24</f>
        <v>0</v>
      </c>
      <c r="PE24" s="2" cm="1">
        <f t="array" ref="PE24">INDEX(增益!$A$2:$Q$40,OY24,MATCH(PE$8,增益!$B$1:$Q$1,0)+1)*$AI24</f>
        <v>0</v>
      </c>
      <c r="PF24" s="2" cm="1">
        <f t="array" ref="PF24">INDEX(增益!$A$2:$Q$40,OY24,MATCH(PF$8,增益!$B$1:$Q$1,0)+1)*$AI24</f>
        <v>0</v>
      </c>
      <c r="PG24" s="2" cm="1">
        <f t="array" ref="PG24">INDEX(增益!$A$2:$Q$40,OY24,MATCH(PG$8,增益!$B$1:$Q$1,0)+1)*$AI24</f>
        <v>0</v>
      </c>
      <c r="PH24" s="2" cm="1">
        <f t="array" ref="PH24">INDEX(增益!$A$2:$Q$40,OY24,MATCH(PH$8,增益!$B$1:$Q$1,0)+1)*$AI24</f>
        <v>0</v>
      </c>
      <c r="PI24" s="2" cm="1">
        <f t="array" ref="PI24">INDEX(增益!$A$2:$Q$40,OY24,MATCH(PI$8,增益!$B$1:$Q$1,0)+1)*$AI24</f>
        <v>0</v>
      </c>
      <c r="PP24" s="2" cm="1">
        <f t="array" ref="PP24">INDEX(增益!$A$2:$Q$40,OY24,MATCH(PP$8,增益!$B$1:$Q$1,0)+1)*$AI24</f>
        <v>0</v>
      </c>
      <c r="PQ24" s="2" cm="1">
        <f t="array" ref="PQ24">INDEX(增益!$A$2:$Q$40,OY24,MATCH(PQ$8,增益!$B$1:$Q$1,0)+1)*$AI24</f>
        <v>0</v>
      </c>
      <c r="PR24" s="2" cm="1">
        <f t="array" ref="PR24">INDEX(增益!$A$2:$Q$40,OY24,MATCH(PR$8,增益!$B$1:$Q$1,0)+1)*$AI24</f>
        <v>0</v>
      </c>
      <c r="PT24" s="2" cm="1">
        <f t="array" ref="PT24">INDEX(增益!$A$2:$Q$40,OY24,MATCH(PT$8,增益!$B$1:$Q$1,0)+1)*$AI24</f>
        <v>0</v>
      </c>
      <c r="PV24" s="2" cm="1">
        <f t="array" ref="PV24">INDEX(增益!$A$2:$Q$40,OY24,MATCH(PV$8,增益!$B$1:$Q$1,0)+1)*$AI24</f>
        <v>0</v>
      </c>
      <c r="PW24" s="2" cm="1">
        <f t="array" ref="PW24">INDEX(增益!$A$2:$Q$40,OY24,MATCH(PW$8,增益!$B$1:$Q$1,0)+1)*$AI24</f>
        <v>0</v>
      </c>
      <c r="QA24" s="2" cm="1">
        <f t="array" ref="QA24">INDEX(云配队!$J29:$AC29,1,QA$1)</f>
        <v>0</v>
      </c>
      <c r="QB24" s="2">
        <f>IFERROR(MATCH(QA24,增益!$A$2:$A$40,FALSE),1)</f>
        <v>1</v>
      </c>
      <c r="QC24" s="2" cm="1">
        <f t="array" ref="QC24">INDEX(增益!$A$2:$Q$40,QB24,MATCH(QC$8,增益!$B$1:$Q$1,0)+1)*$AI24</f>
        <v>0</v>
      </c>
      <c r="QD24" s="2" cm="1">
        <f t="array" ref="QD24">INDEX(增益!$A$2:$Q$40,QB24,MATCH(QD$8,增益!$B$1:$Q$1,0)+1)*$AI24</f>
        <v>0</v>
      </c>
      <c r="QE24" s="2" cm="1">
        <f t="array" ref="QE24">INDEX(增益!$A$2:$Q$40,QB24,MATCH(QE$8,增益!$B$1:$Q$1,0)+1)*$AI24</f>
        <v>0</v>
      </c>
      <c r="QF24" s="2" cm="1">
        <f t="array" ref="QF24">INDEX(增益!$A$2:$Q$40,QB24,MATCH(QF$8,增益!$B$1:$Q$1,0)+1)*$AI24</f>
        <v>0</v>
      </c>
      <c r="QG24" s="2" cm="1">
        <f t="array" ref="QG24">INDEX(增益!$A$2:$Q$40,QB24,MATCH(QG$8,增益!$B$1:$Q$1,0)+1)*$AI24</f>
        <v>0</v>
      </c>
      <c r="QH24" s="2" cm="1">
        <f t="array" ref="QH24">INDEX(增益!$A$2:$Q$40,QB24,MATCH(QH$8,增益!$B$1:$Q$1,0)+1)*$AI24</f>
        <v>0</v>
      </c>
      <c r="QI24" s="2" cm="1">
        <f t="array" ref="QI24">INDEX(增益!$A$2:$Q$40,QB24,MATCH(QI$8,增益!$B$1:$Q$1,0)+1)*$AI24</f>
        <v>0</v>
      </c>
      <c r="QJ24" s="2" cm="1">
        <f t="array" ref="QJ24">INDEX(增益!$A$2:$Q$40,QB24,MATCH(QJ$8,增益!$B$1:$Q$1,0)+1)*$AI24</f>
        <v>0</v>
      </c>
      <c r="QK24" s="2" cm="1">
        <f t="array" ref="QK24">INDEX(增益!$A$2:$Q$40,QB24,MATCH(QK$8,增益!$B$1:$Q$1,0)+1)*$AI24</f>
        <v>0</v>
      </c>
      <c r="QL24" s="2" cm="1">
        <f t="array" ref="QL24">INDEX(增益!$A$2:$Q$40,QB24,MATCH(QL$8,增益!$B$1:$Q$1,0)+1)*$AI24</f>
        <v>0</v>
      </c>
      <c r="QS24" s="2" cm="1">
        <f t="array" ref="QS24">INDEX(增益!$A$2:$Q$40,QB24,MATCH(QS$8,增益!$B$1:$Q$1,0)+1)*$AI24</f>
        <v>0</v>
      </c>
      <c r="QT24" s="2" cm="1">
        <f t="array" ref="QT24">INDEX(增益!$A$2:$Q$40,QB24,MATCH(QT$8,增益!$B$1:$Q$1,0)+1)*$AI24</f>
        <v>0</v>
      </c>
      <c r="QU24" s="2" cm="1">
        <f t="array" ref="QU24">INDEX(增益!$A$2:$Q$40,QB24,MATCH(QU$8,增益!$B$1:$Q$1,0)+1)*$AI24</f>
        <v>0</v>
      </c>
      <c r="QW24" s="2" cm="1">
        <f t="array" ref="QW24">INDEX(增益!$A$2:$Q$40,QB24,MATCH(QW$8,增益!$B$1:$Q$1,0)+1)*$AI24</f>
        <v>0</v>
      </c>
      <c r="QY24" s="2" cm="1">
        <f t="array" ref="QY24">INDEX(增益!$A$2:$Q$40,QB24,MATCH(QY$8,增益!$B$1:$Q$1,0)+1)*$AI24</f>
        <v>0</v>
      </c>
      <c r="QZ24" s="2" cm="1">
        <f t="array" ref="QZ24">INDEX(增益!$A$2:$Q$40,QB24,MATCH(QZ$8,增益!$B$1:$Q$1,0)+1)*$AI24</f>
        <v>0</v>
      </c>
      <c r="RD24" s="2" cm="1">
        <f t="array" ref="RD24">INDEX(云配队!$J29:$AC29,1,RD$1)</f>
        <v>0</v>
      </c>
      <c r="RE24" s="2">
        <f>IFERROR(MATCH(RD24,增益!$A$2:$A$40,FALSE),1)</f>
        <v>1</v>
      </c>
      <c r="RF24" s="2" cm="1">
        <f t="array" ref="RF24">INDEX(增益!$A$2:$Q$40,RE24,MATCH(RF$8,增益!$B$1:$Q$1,0)+1)*$AI24</f>
        <v>0</v>
      </c>
      <c r="RG24" s="2" cm="1">
        <f t="array" ref="RG24">INDEX(增益!$A$2:$Q$40,RE24,MATCH(RG$8,增益!$B$1:$Q$1,0)+1)*$AI24</f>
        <v>0</v>
      </c>
      <c r="RH24" s="2" cm="1">
        <f t="array" ref="RH24">INDEX(增益!$A$2:$Q$40,RE24,MATCH(RH$8,增益!$B$1:$Q$1,0)+1)*$AI24</f>
        <v>0</v>
      </c>
      <c r="RI24" s="2" cm="1">
        <f t="array" ref="RI24">INDEX(增益!$A$2:$Q$40,RE24,MATCH(RI$8,增益!$B$1:$Q$1,0)+1)*$AI24</f>
        <v>0</v>
      </c>
      <c r="RJ24" s="2" cm="1">
        <f t="array" ref="RJ24">INDEX(增益!$A$2:$Q$40,RE24,MATCH(RJ$8,增益!$B$1:$Q$1,0)+1)*$AI24</f>
        <v>0</v>
      </c>
      <c r="RK24" s="2" cm="1">
        <f t="array" ref="RK24">INDEX(增益!$A$2:$Q$40,RE24,MATCH(RK$8,增益!$B$1:$Q$1,0)+1)*$AI24</f>
        <v>0</v>
      </c>
      <c r="RL24" s="2" cm="1">
        <f t="array" ref="RL24">INDEX(增益!$A$2:$Q$40,RE24,MATCH(RL$8,增益!$B$1:$Q$1,0)+1)*$AI24</f>
        <v>0</v>
      </c>
      <c r="RM24" s="2" cm="1">
        <f t="array" ref="RM24">INDEX(增益!$A$2:$Q$40,RE24,MATCH(RM$8,增益!$B$1:$Q$1,0)+1)*$AI24</f>
        <v>0</v>
      </c>
      <c r="RN24" s="2" cm="1">
        <f t="array" ref="RN24">INDEX(增益!$A$2:$Q$40,RE24,MATCH(RN$8,增益!$B$1:$Q$1,0)+1)*$AI24</f>
        <v>0</v>
      </c>
      <c r="RO24" s="2" cm="1">
        <f t="array" ref="RO24">INDEX(增益!$A$2:$Q$40,RE24,MATCH(RO$8,增益!$B$1:$Q$1,0)+1)*$AI24</f>
        <v>0</v>
      </c>
      <c r="RV24" s="2" cm="1">
        <f t="array" ref="RV24">INDEX(增益!$A$2:$Q$40,RE24,MATCH(RV$8,增益!$B$1:$Q$1,0)+1)*$AI24</f>
        <v>0</v>
      </c>
      <c r="RW24" s="2" cm="1">
        <f t="array" ref="RW24">INDEX(增益!$A$2:$Q$40,RE24,MATCH(RW$8,增益!$B$1:$Q$1,0)+1)*$AI24</f>
        <v>0</v>
      </c>
      <c r="RX24" s="2" cm="1">
        <f t="array" ref="RX24">INDEX(增益!$A$2:$Q$40,RE24,MATCH(RX$8,增益!$B$1:$Q$1,0)+1)*$AI24</f>
        <v>0</v>
      </c>
      <c r="RZ24" s="2" cm="1">
        <f t="array" ref="RZ24">INDEX(增益!$A$2:$Q$40,RE24,MATCH(RZ$8,增益!$B$1:$Q$1,0)+1)*$AI24</f>
        <v>0</v>
      </c>
      <c r="SB24" s="2" cm="1">
        <f t="array" ref="SB24">INDEX(增益!$A$2:$Q$40,RE24,MATCH(SB$8,增益!$B$1:$Q$1,0)+1)*$AI24</f>
        <v>0</v>
      </c>
      <c r="SC24" s="2" cm="1">
        <f t="array" ref="SC24">INDEX(增益!$A$2:$Q$40,RE24,MATCH(SC$8,增益!$B$1:$Q$1,0)+1)*$AI24</f>
        <v>0</v>
      </c>
      <c r="SG24" s="2" cm="1">
        <f t="array" ref="SG24">INDEX(云配队!$J29:$AC29,1,SG$1)</f>
        <v>0</v>
      </c>
      <c r="SH24" s="2">
        <f>IFERROR(MATCH(SG24,增益!$A$2:$A$40,FALSE),1)</f>
        <v>1</v>
      </c>
      <c r="SI24" s="2" cm="1">
        <f t="array" ref="SI24">INDEX(增益!$A$2:$Q$40,SH24,MATCH(SI$8,增益!$B$1:$Q$1,0)+1)*$AI24</f>
        <v>0</v>
      </c>
      <c r="SJ24" s="2" cm="1">
        <f t="array" ref="SJ24">INDEX(增益!$A$2:$Q$40,SH24,MATCH(SJ$8,增益!$B$1:$Q$1,0)+1)*$AI24</f>
        <v>0</v>
      </c>
      <c r="SK24" s="2" cm="1">
        <f t="array" ref="SK24">INDEX(增益!$A$2:$Q$40,SH24,MATCH(SK$8,增益!$B$1:$Q$1,0)+1)*$AI24</f>
        <v>0</v>
      </c>
      <c r="SL24" s="2" cm="1">
        <f t="array" ref="SL24">INDEX(增益!$A$2:$Q$40,SH24,MATCH(SL$8,增益!$B$1:$Q$1,0)+1)*$AI24</f>
        <v>0</v>
      </c>
      <c r="SM24" s="2" cm="1">
        <f t="array" ref="SM24">INDEX(增益!$A$2:$Q$40,SH24,MATCH(SM$8,增益!$B$1:$Q$1,0)+1)*$AI24</f>
        <v>0</v>
      </c>
      <c r="SN24" s="2" cm="1">
        <f t="array" ref="SN24">INDEX(增益!$A$2:$Q$40,SH24,MATCH(SN$8,增益!$B$1:$Q$1,0)+1)*$AI24</f>
        <v>0</v>
      </c>
      <c r="SO24" s="2" cm="1">
        <f t="array" ref="SO24">INDEX(增益!$A$2:$Q$40,SH24,MATCH(SO$8,增益!$B$1:$Q$1,0)+1)*$AI24</f>
        <v>0</v>
      </c>
      <c r="SP24" s="2" cm="1">
        <f t="array" ref="SP24">INDEX(增益!$A$2:$Q$40,SH24,MATCH(SP$8,增益!$B$1:$Q$1,0)+1)*$AI24</f>
        <v>0</v>
      </c>
      <c r="SQ24" s="2" cm="1">
        <f t="array" ref="SQ24">INDEX(增益!$A$2:$Q$40,SH24,MATCH(SQ$8,增益!$B$1:$Q$1,0)+1)*$AI24</f>
        <v>0</v>
      </c>
      <c r="SR24" s="2" cm="1">
        <f t="array" ref="SR24">INDEX(增益!$A$2:$Q$40,SH24,MATCH(SR$8,增益!$B$1:$Q$1,0)+1)*$AI24</f>
        <v>0</v>
      </c>
      <c r="SY24" s="2" cm="1">
        <f t="array" ref="SY24">INDEX(增益!$A$2:$Q$40,SH24,MATCH(SY$8,增益!$B$1:$Q$1,0)+1)*$AI24</f>
        <v>0</v>
      </c>
      <c r="SZ24" s="2" cm="1">
        <f t="array" ref="SZ24">INDEX(增益!$A$2:$Q$40,SH24,MATCH(SZ$8,增益!$B$1:$Q$1,0)+1)*$AI24</f>
        <v>0</v>
      </c>
      <c r="TA24" s="2" cm="1">
        <f t="array" ref="TA24">INDEX(增益!$A$2:$Q$40,SH24,MATCH(TA$8,增益!$B$1:$Q$1,0)+1)*$AI24</f>
        <v>0</v>
      </c>
      <c r="TC24" s="2" cm="1">
        <f t="array" ref="TC24">INDEX(增益!$A$2:$Q$40,SH24,MATCH(TC$8,增益!$B$1:$Q$1,0)+1)*$AI24</f>
        <v>0</v>
      </c>
      <c r="TE24" s="2" cm="1">
        <f t="array" ref="TE24">INDEX(增益!$A$2:$Q$40,SH24,MATCH(TE$8,增益!$B$1:$Q$1,0)+1)*$AI24</f>
        <v>0</v>
      </c>
      <c r="TF24" s="2" cm="1">
        <f t="array" ref="TF24">INDEX(增益!$A$2:$Q$40,SH24,MATCH(TF$8,增益!$B$1:$Q$1,0)+1)*$AI24</f>
        <v>0</v>
      </c>
      <c r="TJ24" s="2" cm="1">
        <f t="array" ref="TJ24">INDEX(云配队!$J29:$AC29,1,TJ$1)</f>
        <v>0</v>
      </c>
      <c r="TK24" s="2">
        <f>IFERROR(MATCH(TJ24,增益!$A$2:$A$40,FALSE),1)</f>
        <v>1</v>
      </c>
      <c r="TL24" s="2" cm="1">
        <f t="array" ref="TL24">INDEX(增益!$A$2:$Q$40,TK24,MATCH(TL$8,增益!$B$1:$Q$1,0)+1)*$AI24</f>
        <v>0</v>
      </c>
      <c r="TM24" s="2" cm="1">
        <f t="array" ref="TM24">INDEX(增益!$A$2:$Q$40,TK24,MATCH(TM$8,增益!$B$1:$Q$1,0)+1)*$AI24</f>
        <v>0</v>
      </c>
      <c r="TN24" s="2" cm="1">
        <f t="array" ref="TN24">INDEX(增益!$A$2:$Q$40,TK24,MATCH(TN$8,增益!$B$1:$Q$1,0)+1)*$AI24</f>
        <v>0</v>
      </c>
      <c r="TO24" s="2" cm="1">
        <f t="array" ref="TO24">INDEX(增益!$A$2:$Q$40,TK24,MATCH(TO$8,增益!$B$1:$Q$1,0)+1)*$AI24</f>
        <v>0</v>
      </c>
      <c r="TP24" s="2" cm="1">
        <f t="array" ref="TP24">INDEX(增益!$A$2:$Q$40,TK24,MATCH(TP$8,增益!$B$1:$Q$1,0)+1)*$AI24</f>
        <v>0</v>
      </c>
      <c r="TQ24" s="2" cm="1">
        <f t="array" ref="TQ24">INDEX(增益!$A$2:$Q$40,TK24,MATCH(TQ$8,增益!$B$1:$Q$1,0)+1)*$AI24</f>
        <v>0</v>
      </c>
      <c r="TR24" s="2" cm="1">
        <f t="array" ref="TR24">INDEX(增益!$A$2:$Q$40,TK24,MATCH(TR$8,增益!$B$1:$Q$1,0)+1)*$AI24</f>
        <v>0</v>
      </c>
      <c r="TS24" s="2" cm="1">
        <f t="array" ref="TS24">INDEX(增益!$A$2:$Q$40,TK24,MATCH(TS$8,增益!$B$1:$Q$1,0)+1)*$AI24</f>
        <v>0</v>
      </c>
      <c r="TT24" s="2" cm="1">
        <f t="array" ref="TT24">INDEX(增益!$A$2:$Q$40,TK24,MATCH(TT$8,增益!$B$1:$Q$1,0)+1)*$AI24</f>
        <v>0</v>
      </c>
      <c r="TU24" s="2" cm="1">
        <f t="array" ref="TU24">INDEX(增益!$A$2:$Q$40,TK24,MATCH(TU$8,增益!$B$1:$Q$1,0)+1)*$AI24</f>
        <v>0</v>
      </c>
      <c r="UB24" s="2" cm="1">
        <f t="array" ref="UB24">INDEX(增益!$A$2:$Q$40,TK24,MATCH(UB$8,增益!$B$1:$Q$1,0)+1)*$AI24</f>
        <v>0</v>
      </c>
      <c r="UC24" s="2" cm="1">
        <f t="array" ref="UC24">INDEX(增益!$A$2:$Q$40,TK24,MATCH(UC$8,增益!$B$1:$Q$1,0)+1)*$AI24</f>
        <v>0</v>
      </c>
      <c r="UD24" s="2" cm="1">
        <f t="array" ref="UD24">INDEX(增益!$A$2:$Q$40,TK24,MATCH(UD$8,增益!$B$1:$Q$1,0)+1)*$AI24</f>
        <v>0</v>
      </c>
      <c r="UF24" s="2" cm="1">
        <f t="array" ref="UF24">INDEX(增益!$A$2:$Q$40,TK24,MATCH(UF$8,增益!$B$1:$Q$1,0)+1)*$AI24</f>
        <v>0</v>
      </c>
      <c r="UH24" s="2" cm="1">
        <f t="array" ref="UH24">INDEX(增益!$A$2:$Q$40,TK24,MATCH(UH$8,增益!$B$1:$Q$1,0)+1)*$AI24</f>
        <v>0</v>
      </c>
      <c r="UI24" s="2" cm="1">
        <f t="array" ref="UI24">INDEX(增益!$A$2:$Q$40,TK24,MATCH(UI$8,增益!$B$1:$Q$1,0)+1)*$AI24</f>
        <v>0</v>
      </c>
      <c r="UM24" s="2" cm="1">
        <f t="array" ref="UM24">INDEX(云配队!$J29:$AC29,1,UM$1)</f>
        <v>0</v>
      </c>
      <c r="UN24" s="2">
        <f>IFERROR(MATCH(UM24,增益!$A$2:$A$40,FALSE),1)</f>
        <v>1</v>
      </c>
      <c r="UO24" s="2" cm="1">
        <f t="array" ref="UO24">INDEX(增益!$A$2:$Q$40,UN24,MATCH(UO$8,增益!$B$1:$Q$1,0)+1)*$AI24</f>
        <v>0</v>
      </c>
      <c r="UP24" s="2" cm="1">
        <f t="array" ref="UP24">INDEX(增益!$A$2:$Q$40,UN24,MATCH(UP$8,增益!$B$1:$Q$1,0)+1)*$AI24</f>
        <v>0</v>
      </c>
      <c r="UQ24" s="2" cm="1">
        <f t="array" ref="UQ24">INDEX(增益!$A$2:$Q$40,UN24,MATCH(UQ$8,增益!$B$1:$Q$1,0)+1)*$AI24</f>
        <v>0</v>
      </c>
      <c r="UR24" s="2" cm="1">
        <f t="array" ref="UR24">INDEX(增益!$A$2:$Q$40,UN24,MATCH(UR$8,增益!$B$1:$Q$1,0)+1)*$AI24</f>
        <v>0</v>
      </c>
      <c r="US24" s="2" cm="1">
        <f t="array" ref="US24">INDEX(增益!$A$2:$Q$40,UN24,MATCH(US$8,增益!$B$1:$Q$1,0)+1)*$AI24</f>
        <v>0</v>
      </c>
      <c r="UT24" s="2" cm="1">
        <f t="array" ref="UT24">INDEX(增益!$A$2:$Q$40,UN24,MATCH(UT$8,增益!$B$1:$Q$1,0)+1)*$AI24</f>
        <v>0</v>
      </c>
      <c r="UU24" s="2" cm="1">
        <f t="array" ref="UU24">INDEX(增益!$A$2:$Q$40,UN24,MATCH(UU$8,增益!$B$1:$Q$1,0)+1)*$AI24</f>
        <v>0</v>
      </c>
      <c r="UV24" s="2" cm="1">
        <f t="array" ref="UV24">INDEX(增益!$A$2:$Q$40,UN24,MATCH(UV$8,增益!$B$1:$Q$1,0)+1)*$AI24</f>
        <v>0</v>
      </c>
      <c r="UW24" s="2" cm="1">
        <f t="array" ref="UW24">INDEX(增益!$A$2:$Q$40,UN24,MATCH(UW$8,增益!$B$1:$Q$1,0)+1)*$AI24</f>
        <v>0</v>
      </c>
      <c r="UX24" s="2" cm="1">
        <f t="array" ref="UX24">INDEX(增益!$A$2:$Q$40,UN24,MATCH(UX$8,增益!$B$1:$Q$1,0)+1)*$AI24</f>
        <v>0</v>
      </c>
      <c r="VE24" s="2" cm="1">
        <f t="array" ref="VE24">INDEX(增益!$A$2:$Q$40,UN24,MATCH(VE$8,增益!$B$1:$Q$1,0)+1)*$AI24</f>
        <v>0</v>
      </c>
      <c r="VF24" s="2" cm="1">
        <f t="array" ref="VF24">INDEX(增益!$A$2:$Q$40,UN24,MATCH(VF$8,增益!$B$1:$Q$1,0)+1)*$AI24</f>
        <v>0</v>
      </c>
      <c r="VG24" s="2" cm="1">
        <f t="array" ref="VG24">INDEX(增益!$A$2:$Q$40,UN24,MATCH(VG$8,增益!$B$1:$Q$1,0)+1)*$AI24</f>
        <v>0</v>
      </c>
      <c r="VI24" s="2" cm="1">
        <f t="array" ref="VI24">INDEX(增益!$A$2:$Q$40,UN24,MATCH(VI$8,增益!$B$1:$Q$1,0)+1)*$AI24</f>
        <v>0</v>
      </c>
      <c r="VK24" s="2" cm="1">
        <f t="array" ref="VK24">INDEX(增益!$A$2:$Q$40,UN24,MATCH(VK$8,增益!$B$1:$Q$1,0)+1)*$AI24</f>
        <v>0</v>
      </c>
      <c r="VL24" s="2" cm="1">
        <f t="array" ref="VL24">INDEX(增益!$A$2:$Q$40,UN24,MATCH(VL$8,增益!$B$1:$Q$1,0)+1)*$AI24</f>
        <v>0</v>
      </c>
      <c r="VP24" s="2" cm="1">
        <f t="array" ref="VP24">INDEX(云配队!$J29:$AC29,1,VP$1)</f>
        <v>0</v>
      </c>
      <c r="VQ24" s="2">
        <f>IFERROR(MATCH(VP24,增益!$A$2:$A$40,FALSE),1)</f>
        <v>1</v>
      </c>
      <c r="VR24" s="2" cm="1">
        <f t="array" ref="VR24">INDEX(增益!$A$2:$Q$40,VQ24,MATCH(VR$8,增益!$B$1:$Q$1,0)+1)*$AI24</f>
        <v>0</v>
      </c>
      <c r="VS24" s="2" cm="1">
        <f t="array" ref="VS24">INDEX(增益!$A$2:$Q$40,VQ24,MATCH(VS$8,增益!$B$1:$Q$1,0)+1)*$AI24</f>
        <v>0</v>
      </c>
      <c r="VT24" s="2" cm="1">
        <f t="array" ref="VT24">INDEX(增益!$A$2:$Q$40,VQ24,MATCH(VT$8,增益!$B$1:$Q$1,0)+1)*$AI24</f>
        <v>0</v>
      </c>
      <c r="VU24" s="2" cm="1">
        <f t="array" ref="VU24">INDEX(增益!$A$2:$Q$40,VQ24,MATCH(VU$8,增益!$B$1:$Q$1,0)+1)*$AI24</f>
        <v>0</v>
      </c>
      <c r="VV24" s="2" cm="1">
        <f t="array" ref="VV24">INDEX(增益!$A$2:$Q$40,VQ24,MATCH(VV$8,增益!$B$1:$Q$1,0)+1)*$AI24</f>
        <v>0</v>
      </c>
      <c r="VW24" s="2" cm="1">
        <f t="array" ref="VW24">INDEX(增益!$A$2:$Q$40,VQ24,MATCH(VW$8,增益!$B$1:$Q$1,0)+1)*$AI24</f>
        <v>0</v>
      </c>
      <c r="VX24" s="2" cm="1">
        <f t="array" ref="VX24">INDEX(增益!$A$2:$Q$40,VQ24,MATCH(VX$8,增益!$B$1:$Q$1,0)+1)*$AI24</f>
        <v>0</v>
      </c>
      <c r="VY24" s="2" cm="1">
        <f t="array" ref="VY24">INDEX(增益!$A$2:$Q$40,VQ24,MATCH(VY$8,增益!$B$1:$Q$1,0)+1)*$AI24</f>
        <v>0</v>
      </c>
      <c r="VZ24" s="2" cm="1">
        <f t="array" ref="VZ24">INDEX(增益!$A$2:$Q$40,VQ24,MATCH(VZ$8,增益!$B$1:$Q$1,0)+1)*$AI24</f>
        <v>0</v>
      </c>
      <c r="WA24" s="2" cm="1">
        <f t="array" ref="WA24">INDEX(增益!$A$2:$Q$40,VQ24,MATCH(WA$8,增益!$B$1:$Q$1,0)+1)*$AI24</f>
        <v>0</v>
      </c>
      <c r="WH24" s="2" cm="1">
        <f t="array" ref="WH24">INDEX(增益!$A$2:$Q$40,VQ24,MATCH(WH$8,增益!$B$1:$Q$1,0)+1)*$AI24</f>
        <v>0</v>
      </c>
      <c r="WI24" s="2" cm="1">
        <f t="array" ref="WI24">INDEX(增益!$A$2:$Q$40,VQ24,MATCH(WI$8,增益!$B$1:$Q$1,0)+1)*$AI24</f>
        <v>0</v>
      </c>
      <c r="WJ24" s="2" cm="1">
        <f t="array" ref="WJ24">INDEX(增益!$A$2:$Q$40,VQ24,MATCH(WJ$8,增益!$B$1:$Q$1,0)+1)*$AI24</f>
        <v>0</v>
      </c>
      <c r="WL24" s="2" cm="1">
        <f t="array" ref="WL24">INDEX(增益!$A$2:$Q$40,VQ24,MATCH(WL$8,增益!$B$1:$Q$1,0)+1)*$AI24</f>
        <v>0</v>
      </c>
      <c r="WN24" s="2" cm="1">
        <f t="array" ref="WN24">INDEX(增益!$A$2:$Q$40,VQ24,MATCH(WN$8,增益!$B$1:$Q$1,0)+1)*$AI24</f>
        <v>0</v>
      </c>
      <c r="WO24" s="2" cm="1">
        <f t="array" ref="WO24">INDEX(增益!$A$2:$Q$40,VQ24,MATCH(WO$8,增益!$B$1:$Q$1,0)+1)*$AI24</f>
        <v>0</v>
      </c>
    </row>
    <row r="25" s="1" customFormat="1" spans="35:616">
      <c r="AK25" s="1" t="s">
        <v>556</v>
      </c>
      <c r="AM25" s="1">
        <f t="shared" ref="AM25:AV25" si="0">SUM(AM9:AM24)</f>
        <v>0.075</v>
      </c>
      <c r="AN25" s="1">
        <f t="shared" si="0"/>
        <v>0</v>
      </c>
      <c r="AO25" s="1">
        <f t="shared" si="0"/>
        <v>0</v>
      </c>
      <c r="AP25" s="1">
        <f t="shared" si="0"/>
        <v>0</v>
      </c>
      <c r="AQ25" s="1">
        <f t="shared" si="0"/>
        <v>0</v>
      </c>
      <c r="AR25" s="1">
        <f t="shared" si="0"/>
        <v>0</v>
      </c>
      <c r="AS25" s="1">
        <f t="shared" si="0"/>
        <v>0</v>
      </c>
      <c r="AT25" s="1">
        <f t="shared" si="0"/>
        <v>0</v>
      </c>
      <c r="AU25" s="1">
        <f t="shared" si="0"/>
        <v>0</v>
      </c>
      <c r="AV25" s="1">
        <f t="shared" si="0"/>
        <v>0</v>
      </c>
      <c r="BC25" s="1">
        <f>SUM(BC9:BC24)</f>
        <v>0</v>
      </c>
      <c r="BD25" s="1">
        <f>SUM(BD9:BD24)</f>
        <v>0</v>
      </c>
      <c r="BE25" s="1">
        <f>SUM(BE9:BE24)</f>
        <v>0</v>
      </c>
      <c r="BG25" s="1">
        <f>SUM(BG9:BG24)</f>
        <v>0</v>
      </c>
      <c r="BI25" s="1">
        <f>SUM(BI9:BI24)</f>
        <v>0.1675</v>
      </c>
      <c r="BJ25" s="1">
        <f>SUM(BJ9:BJ24)</f>
        <v>0</v>
      </c>
      <c r="BN25" s="1" t="s">
        <v>556</v>
      </c>
      <c r="BP25" s="1">
        <f t="shared" ref="BP25:BY25" si="1">SUM(BP9:BP24)</f>
        <v>0.075</v>
      </c>
      <c r="BQ25" s="1">
        <f t="shared" si="1"/>
        <v>0</v>
      </c>
      <c r="BR25" s="1">
        <f t="shared" si="1"/>
        <v>0</v>
      </c>
      <c r="BS25" s="1">
        <f t="shared" si="1"/>
        <v>0</v>
      </c>
      <c r="BT25" s="1">
        <f t="shared" si="1"/>
        <v>0</v>
      </c>
      <c r="BU25" s="1">
        <f t="shared" si="1"/>
        <v>0</v>
      </c>
      <c r="BV25" s="1">
        <f t="shared" si="1"/>
        <v>0</v>
      </c>
      <c r="BW25" s="1">
        <f t="shared" si="1"/>
        <v>0</v>
      </c>
      <c r="BX25" s="1">
        <f t="shared" si="1"/>
        <v>0</v>
      </c>
      <c r="BY25" s="1">
        <f t="shared" si="1"/>
        <v>0</v>
      </c>
      <c r="CF25" s="1">
        <f>SUM(CF9:CF24)</f>
        <v>0</v>
      </c>
      <c r="CG25" s="1">
        <f>SUM(CG9:CG24)</f>
        <v>0</v>
      </c>
      <c r="CH25" s="1">
        <f>SUM(CH9:CH24)</f>
        <v>0</v>
      </c>
      <c r="CJ25" s="1">
        <f>SUM(CJ9:CJ24)</f>
        <v>0</v>
      </c>
      <c r="CL25" s="1">
        <f>SUM(CL9:CL24)</f>
        <v>0.25</v>
      </c>
      <c r="CM25" s="1">
        <f>SUM(CM9:CM24)</f>
        <v>0</v>
      </c>
      <c r="CQ25" s="1" t="s">
        <v>556</v>
      </c>
      <c r="CS25" s="1">
        <f t="shared" ref="CS25:DB25" si="2">SUM(CS9:CS24)</f>
        <v>0.075</v>
      </c>
      <c r="CT25" s="1">
        <f t="shared" si="2"/>
        <v>0</v>
      </c>
      <c r="CU25" s="1">
        <f t="shared" si="2"/>
        <v>0</v>
      </c>
      <c r="CV25" s="1">
        <f t="shared" si="2"/>
        <v>0</v>
      </c>
      <c r="CW25" s="1">
        <f t="shared" si="2"/>
        <v>0</v>
      </c>
      <c r="CX25" s="1">
        <f t="shared" si="2"/>
        <v>0</v>
      </c>
      <c r="CY25" s="1">
        <f t="shared" si="2"/>
        <v>0</v>
      </c>
      <c r="CZ25" s="1">
        <f t="shared" si="2"/>
        <v>0</v>
      </c>
      <c r="DA25" s="1">
        <f t="shared" si="2"/>
        <v>0</v>
      </c>
      <c r="DB25" s="1">
        <f t="shared" si="2"/>
        <v>0</v>
      </c>
      <c r="DI25" s="1">
        <f>SUM(DI9:DI24)</f>
        <v>0</v>
      </c>
      <c r="DJ25" s="1">
        <f>SUM(DJ9:DJ24)</f>
        <v>0</v>
      </c>
      <c r="DK25" s="1">
        <f>SUM(DK9:DK24)</f>
        <v>0.3</v>
      </c>
      <c r="DM25" s="1">
        <f>SUM(DM9:DM24)</f>
        <v>0</v>
      </c>
      <c r="DO25" s="1">
        <f>SUM(DO9:DO24)</f>
        <v>0</v>
      </c>
      <c r="DP25" s="1">
        <f>SUM(DP9:DP24)</f>
        <v>0</v>
      </c>
      <c r="DT25" s="1" t="s">
        <v>556</v>
      </c>
      <c r="DV25" s="1">
        <f t="shared" ref="DV25:EE25" si="3">SUM(DV9:DV24)</f>
        <v>0.075</v>
      </c>
      <c r="DW25" s="1">
        <f t="shared" si="3"/>
        <v>0</v>
      </c>
      <c r="DX25" s="1">
        <f t="shared" si="3"/>
        <v>0</v>
      </c>
      <c r="DY25" s="1">
        <f t="shared" si="3"/>
        <v>0</v>
      </c>
      <c r="DZ25" s="1">
        <f t="shared" si="3"/>
        <v>0</v>
      </c>
      <c r="EA25" s="1">
        <f t="shared" si="3"/>
        <v>0</v>
      </c>
      <c r="EB25" s="1">
        <f t="shared" si="3"/>
        <v>0</v>
      </c>
      <c r="EC25" s="1">
        <f t="shared" si="3"/>
        <v>0</v>
      </c>
      <c r="ED25" s="1">
        <f t="shared" si="3"/>
        <v>0</v>
      </c>
      <c r="EE25" s="1">
        <f t="shared" si="3"/>
        <v>0</v>
      </c>
      <c r="EL25" s="1">
        <f>SUM(EL9:EL24)</f>
        <v>0.1</v>
      </c>
      <c r="EM25" s="1">
        <f>SUM(EM9:EM24)</f>
        <v>0</v>
      </c>
      <c r="EN25" s="1">
        <f>SUM(EN9:EN24)</f>
        <v>0.3</v>
      </c>
      <c r="EP25" s="1">
        <f>SUM(EP9:EP24)</f>
        <v>0</v>
      </c>
      <c r="ER25" s="1">
        <f>SUM(ER9:ER24)</f>
        <v>0</v>
      </c>
      <c r="ES25" s="1">
        <f>SUM(ES9:ES24)</f>
        <v>0</v>
      </c>
      <c r="EW25" s="1" t="s">
        <v>556</v>
      </c>
      <c r="EY25" s="1">
        <f t="shared" ref="EY25:FH25" si="4">SUM(EY9:EY24)</f>
        <v>0.075</v>
      </c>
      <c r="EZ25" s="1">
        <f t="shared" si="4"/>
        <v>0</v>
      </c>
      <c r="FA25" s="1">
        <f t="shared" si="4"/>
        <v>0</v>
      </c>
      <c r="FB25" s="1">
        <f t="shared" si="4"/>
        <v>0</v>
      </c>
      <c r="FC25" s="1">
        <f t="shared" si="4"/>
        <v>0</v>
      </c>
      <c r="FD25" s="1">
        <f t="shared" si="4"/>
        <v>0</v>
      </c>
      <c r="FE25" s="1">
        <f t="shared" si="4"/>
        <v>0</v>
      </c>
      <c r="FF25" s="1">
        <f t="shared" si="4"/>
        <v>0</v>
      </c>
      <c r="FG25" s="1">
        <f t="shared" si="4"/>
        <v>0</v>
      </c>
      <c r="FH25" s="1">
        <f t="shared" si="4"/>
        <v>0</v>
      </c>
      <c r="FO25" s="1">
        <f>SUM(FO9:FO24)</f>
        <v>0.1875</v>
      </c>
      <c r="FP25" s="1">
        <f>SUM(FP9:FP24)</f>
        <v>0</v>
      </c>
      <c r="FQ25" s="1">
        <f>SUM(FQ9:FQ24)</f>
        <v>0.3</v>
      </c>
      <c r="FS25" s="1">
        <f>SUM(FS9:FS24)</f>
        <v>0</v>
      </c>
      <c r="FU25" s="1">
        <f>SUM(FU9:FU24)</f>
        <v>0</v>
      </c>
      <c r="FV25" s="1">
        <f>SUM(FV9:FV24)</f>
        <v>0</v>
      </c>
      <c r="FZ25" s="1" t="s">
        <v>556</v>
      </c>
      <c r="GB25" s="1">
        <f t="shared" ref="GB25:GK25" si="5">SUM(GB9:GB24)</f>
        <v>0.075</v>
      </c>
      <c r="GC25" s="1">
        <f t="shared" si="5"/>
        <v>0</v>
      </c>
      <c r="GD25" s="1">
        <f t="shared" si="5"/>
        <v>0</v>
      </c>
      <c r="GE25" s="1">
        <f t="shared" si="5"/>
        <v>0</v>
      </c>
      <c r="GF25" s="1">
        <f t="shared" si="5"/>
        <v>0</v>
      </c>
      <c r="GG25" s="1">
        <f t="shared" si="5"/>
        <v>0</v>
      </c>
      <c r="GH25" s="1">
        <f t="shared" si="5"/>
        <v>0</v>
      </c>
      <c r="GI25" s="1">
        <f t="shared" si="5"/>
        <v>0</v>
      </c>
      <c r="GJ25" s="1">
        <f t="shared" si="5"/>
        <v>0</v>
      </c>
      <c r="GK25" s="1">
        <f t="shared" si="5"/>
        <v>0</v>
      </c>
      <c r="GR25" s="1">
        <f>SUM(GR9:GR24)</f>
        <v>0.25</v>
      </c>
      <c r="GS25" s="1">
        <f>SUM(GS9:GS24)</f>
        <v>0</v>
      </c>
      <c r="GT25" s="1">
        <f>SUM(GT9:GT24)</f>
        <v>0.3</v>
      </c>
      <c r="GV25" s="1">
        <f>SUM(GV9:GV24)</f>
        <v>0</v>
      </c>
      <c r="GX25" s="1">
        <f>SUM(GX9:GX24)</f>
        <v>0</v>
      </c>
      <c r="GY25" s="1">
        <f>SUM(GY9:GY24)</f>
        <v>0</v>
      </c>
      <c r="HC25" s="1" t="s">
        <v>556</v>
      </c>
      <c r="HE25" s="1">
        <f t="shared" ref="HE25:HN25" si="6">SUM(HE9:HE24)</f>
        <v>0.075</v>
      </c>
      <c r="HF25" s="1">
        <f t="shared" si="6"/>
        <v>0</v>
      </c>
      <c r="HG25" s="1">
        <f t="shared" si="6"/>
        <v>0</v>
      </c>
      <c r="HH25" s="1">
        <f t="shared" si="6"/>
        <v>0</v>
      </c>
      <c r="HI25" s="1">
        <f t="shared" si="6"/>
        <v>0</v>
      </c>
      <c r="HJ25" s="1">
        <f t="shared" si="6"/>
        <v>0</v>
      </c>
      <c r="HK25" s="1">
        <f t="shared" si="6"/>
        <v>0</v>
      </c>
      <c r="HL25" s="1">
        <f t="shared" si="6"/>
        <v>0</v>
      </c>
      <c r="HM25" s="1">
        <f t="shared" si="6"/>
        <v>0</v>
      </c>
      <c r="HN25" s="1">
        <f t="shared" si="6"/>
        <v>0</v>
      </c>
      <c r="HU25" s="1">
        <f>SUM(HU9:HU24)</f>
        <v>0.075</v>
      </c>
      <c r="HV25" s="1">
        <f>SUM(HV9:HV24)</f>
        <v>0</v>
      </c>
      <c r="HW25" s="1">
        <f>SUM(HW9:HW24)</f>
        <v>0.3</v>
      </c>
      <c r="HY25" s="1">
        <f>SUM(HY9:HY24)</f>
        <v>0</v>
      </c>
      <c r="IA25" s="1">
        <f>SUM(IA9:IA24)</f>
        <v>0</v>
      </c>
      <c r="IB25" s="1">
        <f>SUM(IB9:IB24)</f>
        <v>0</v>
      </c>
      <c r="IF25" s="1" t="s">
        <v>556</v>
      </c>
      <c r="IH25" s="1">
        <f t="shared" ref="IH25:IQ25" si="7">SUM(IH9:IH24)</f>
        <v>0.075</v>
      </c>
      <c r="II25" s="1">
        <f t="shared" si="7"/>
        <v>0</v>
      </c>
      <c r="IJ25" s="1">
        <f t="shared" si="7"/>
        <v>0</v>
      </c>
      <c r="IK25" s="1">
        <f t="shared" si="7"/>
        <v>0</v>
      </c>
      <c r="IL25" s="1">
        <f t="shared" si="7"/>
        <v>0</v>
      </c>
      <c r="IM25" s="1">
        <f t="shared" si="7"/>
        <v>0</v>
      </c>
      <c r="IN25" s="1">
        <f t="shared" si="7"/>
        <v>0</v>
      </c>
      <c r="IO25" s="1">
        <f t="shared" si="7"/>
        <v>0</v>
      </c>
      <c r="IP25" s="1">
        <f t="shared" si="7"/>
        <v>0</v>
      </c>
      <c r="IQ25" s="1">
        <f t="shared" si="7"/>
        <v>0</v>
      </c>
      <c r="IX25" s="1">
        <f>SUM(IX9:IX24)</f>
        <v>0.25</v>
      </c>
      <c r="IY25" s="1">
        <f>SUM(IY9:IY24)</f>
        <v>0</v>
      </c>
      <c r="IZ25" s="1">
        <f>SUM(IZ9:IZ24)</f>
        <v>0.3</v>
      </c>
      <c r="JB25" s="1">
        <f>SUM(JB9:JB24)</f>
        <v>0</v>
      </c>
      <c r="JD25" s="1">
        <f>SUM(JD9:JD24)</f>
        <v>0</v>
      </c>
      <c r="JE25" s="1">
        <f>SUM(JE9:JE24)</f>
        <v>0</v>
      </c>
      <c r="JI25" s="1" t="s">
        <v>556</v>
      </c>
      <c r="JK25" s="1">
        <f t="shared" ref="JK25:JT25" si="8">SUM(JK9:JK24)</f>
        <v>0.075</v>
      </c>
      <c r="JL25" s="1">
        <f t="shared" si="8"/>
        <v>0</v>
      </c>
      <c r="JM25" s="1">
        <f t="shared" si="8"/>
        <v>0</v>
      </c>
      <c r="JN25" s="1">
        <f t="shared" si="8"/>
        <v>0</v>
      </c>
      <c r="JO25" s="1">
        <f t="shared" si="8"/>
        <v>0</v>
      </c>
      <c r="JP25" s="1">
        <f t="shared" si="8"/>
        <v>0</v>
      </c>
      <c r="JQ25" s="1">
        <f t="shared" si="8"/>
        <v>0</v>
      </c>
      <c r="JR25" s="1">
        <f t="shared" si="8"/>
        <v>0</v>
      </c>
      <c r="JS25" s="1">
        <f t="shared" si="8"/>
        <v>0</v>
      </c>
      <c r="JT25" s="1">
        <f t="shared" si="8"/>
        <v>0</v>
      </c>
      <c r="KA25" s="1">
        <f>SUM(KA9:KA24)</f>
        <v>0</v>
      </c>
      <c r="KB25" s="1">
        <f>SUM(KB9:KB24)</f>
        <v>0</v>
      </c>
      <c r="KC25" s="1">
        <f>SUM(KC9:KC24)</f>
        <v>0</v>
      </c>
      <c r="KE25" s="1">
        <f>SUM(KE9:KE24)</f>
        <v>0</v>
      </c>
      <c r="KG25" s="1">
        <f>SUM(KG9:KG24)</f>
        <v>0</v>
      </c>
      <c r="KH25" s="1">
        <f>SUM(KH9:KH24)</f>
        <v>0</v>
      </c>
      <c r="KL25" s="1" t="s">
        <v>556</v>
      </c>
      <c r="KN25" s="1">
        <f t="shared" ref="KN25:KW25" si="9">SUM(KN9:KN24)</f>
        <v>0.075</v>
      </c>
      <c r="KO25" s="1">
        <f t="shared" si="9"/>
        <v>0</v>
      </c>
      <c r="KP25" s="1">
        <f t="shared" si="9"/>
        <v>0</v>
      </c>
      <c r="KQ25" s="1">
        <f t="shared" si="9"/>
        <v>0</v>
      </c>
      <c r="KR25" s="1">
        <f t="shared" si="9"/>
        <v>0</v>
      </c>
      <c r="KS25" s="1">
        <f t="shared" si="9"/>
        <v>0</v>
      </c>
      <c r="KT25" s="1">
        <f t="shared" si="9"/>
        <v>0</v>
      </c>
      <c r="KU25" s="1">
        <f t="shared" si="9"/>
        <v>0</v>
      </c>
      <c r="KV25" s="1">
        <f t="shared" si="9"/>
        <v>0</v>
      </c>
      <c r="KW25" s="1">
        <f t="shared" si="9"/>
        <v>0</v>
      </c>
      <c r="LD25" s="1">
        <f>SUM(LD9:LD24)</f>
        <v>0.7</v>
      </c>
      <c r="LE25" s="1">
        <f>SUM(LE9:LE24)</f>
        <v>0</v>
      </c>
      <c r="LF25" s="1">
        <f>SUM(LF9:LF24)</f>
        <v>0</v>
      </c>
      <c r="LH25" s="1">
        <f>SUM(LH9:LH24)</f>
        <v>0</v>
      </c>
      <c r="LJ25" s="1">
        <f>SUM(LJ9:LJ24)</f>
        <v>0</v>
      </c>
      <c r="LK25" s="1">
        <f>SUM(LK9:LK24)</f>
        <v>0</v>
      </c>
      <c r="LO25" s="1" t="s">
        <v>556</v>
      </c>
      <c r="LQ25" s="1">
        <f t="shared" ref="LQ25:LZ25" si="10">SUM(LQ9:LQ24)</f>
        <v>0.075</v>
      </c>
      <c r="LR25" s="1">
        <f t="shared" si="10"/>
        <v>0</v>
      </c>
      <c r="LS25" s="1">
        <f t="shared" si="10"/>
        <v>0</v>
      </c>
      <c r="LT25" s="1">
        <f t="shared" si="10"/>
        <v>0</v>
      </c>
      <c r="LU25" s="1">
        <f t="shared" si="10"/>
        <v>0</v>
      </c>
      <c r="LV25" s="1">
        <f t="shared" si="10"/>
        <v>0</v>
      </c>
      <c r="LW25" s="1">
        <f t="shared" si="10"/>
        <v>0</v>
      </c>
      <c r="LX25" s="1">
        <f t="shared" si="10"/>
        <v>0</v>
      </c>
      <c r="LY25" s="1">
        <f t="shared" si="10"/>
        <v>0</v>
      </c>
      <c r="LZ25" s="1">
        <f t="shared" si="10"/>
        <v>0</v>
      </c>
      <c r="MG25" s="1">
        <f>SUM(MG9:MG24)</f>
        <v>0.35</v>
      </c>
      <c r="MH25" s="1">
        <f>SUM(MH9:MH24)</f>
        <v>0</v>
      </c>
      <c r="MI25" s="1">
        <f>SUM(MI9:MI24)</f>
        <v>0</v>
      </c>
      <c r="MK25" s="1">
        <f>SUM(MK9:MK24)</f>
        <v>0</v>
      </c>
      <c r="MM25" s="1">
        <f>SUM(MM9:MM24)</f>
        <v>0</v>
      </c>
      <c r="MN25" s="1">
        <f>SUM(MN9:MN24)</f>
        <v>0</v>
      </c>
      <c r="MR25" s="1" t="s">
        <v>556</v>
      </c>
      <c r="MT25" s="1">
        <f t="shared" ref="MT25:NC25" si="11">SUM(MT9:MT24)</f>
        <v>0.075</v>
      </c>
      <c r="MU25" s="1">
        <f t="shared" si="11"/>
        <v>0</v>
      </c>
      <c r="MV25" s="1">
        <f t="shared" si="11"/>
        <v>0</v>
      </c>
      <c r="MW25" s="1">
        <f t="shared" si="11"/>
        <v>0</v>
      </c>
      <c r="MX25" s="1">
        <f t="shared" si="11"/>
        <v>0</v>
      </c>
      <c r="MY25" s="1">
        <f t="shared" si="11"/>
        <v>0</v>
      </c>
      <c r="MZ25" s="1">
        <f t="shared" si="11"/>
        <v>0</v>
      </c>
      <c r="NA25" s="1">
        <f t="shared" si="11"/>
        <v>0</v>
      </c>
      <c r="NB25" s="1">
        <f t="shared" si="11"/>
        <v>0</v>
      </c>
      <c r="NC25" s="1">
        <f t="shared" si="11"/>
        <v>0</v>
      </c>
      <c r="NJ25" s="1">
        <f>SUM(NJ9:NJ24)</f>
        <v>0</v>
      </c>
      <c r="NK25" s="1">
        <f>SUM(NK9:NK24)</f>
        <v>0</v>
      </c>
      <c r="NL25" s="1">
        <f>SUM(NL9:NL24)</f>
        <v>0</v>
      </c>
      <c r="NN25" s="1">
        <f>SUM(NN9:NN24)</f>
        <v>0</v>
      </c>
      <c r="NP25" s="1">
        <f>SUM(NP9:NP24)</f>
        <v>0</v>
      </c>
      <c r="NQ25" s="1">
        <f>SUM(NQ9:NQ24)</f>
        <v>0</v>
      </c>
      <c r="NU25" s="1" t="s">
        <v>556</v>
      </c>
      <c r="NW25" s="1">
        <f t="shared" ref="NW25:OF25" si="12">SUM(NW9:NW24)</f>
        <v>0.075</v>
      </c>
      <c r="NX25" s="1">
        <f t="shared" si="12"/>
        <v>0</v>
      </c>
      <c r="NY25" s="1">
        <f t="shared" si="12"/>
        <v>0</v>
      </c>
      <c r="NZ25" s="1">
        <f t="shared" si="12"/>
        <v>0</v>
      </c>
      <c r="OA25" s="1">
        <f t="shared" si="12"/>
        <v>0</v>
      </c>
      <c r="OB25" s="1">
        <f t="shared" si="12"/>
        <v>0</v>
      </c>
      <c r="OC25" s="1">
        <f t="shared" si="12"/>
        <v>0</v>
      </c>
      <c r="OD25" s="1">
        <f t="shared" si="12"/>
        <v>0</v>
      </c>
      <c r="OE25" s="1">
        <f t="shared" si="12"/>
        <v>0</v>
      </c>
      <c r="OF25" s="1">
        <f t="shared" si="12"/>
        <v>0</v>
      </c>
      <c r="OM25" s="1">
        <f>SUM(OM9:OM24)</f>
        <v>0</v>
      </c>
      <c r="ON25" s="1">
        <f>SUM(ON9:ON24)</f>
        <v>0</v>
      </c>
      <c r="OO25" s="1">
        <f>SUM(OO9:OO24)</f>
        <v>0</v>
      </c>
      <c r="OQ25" s="1">
        <f>SUM(OQ9:OQ24)</f>
        <v>0</v>
      </c>
      <c r="OS25" s="1">
        <f>SUM(OS9:OS24)</f>
        <v>0</v>
      </c>
      <c r="OT25" s="1">
        <f>SUM(OT9:OT24)</f>
        <v>0</v>
      </c>
      <c r="OX25" s="1" t="s">
        <v>556</v>
      </c>
      <c r="OZ25" s="1">
        <f t="shared" ref="OZ25:PI25" si="13">SUM(OZ9:OZ24)</f>
        <v>0.075</v>
      </c>
      <c r="PA25" s="1">
        <f t="shared" si="13"/>
        <v>0</v>
      </c>
      <c r="PB25" s="1">
        <f t="shared" si="13"/>
        <v>0</v>
      </c>
      <c r="PC25" s="1">
        <f t="shared" si="13"/>
        <v>0</v>
      </c>
      <c r="PD25" s="1">
        <f t="shared" si="13"/>
        <v>0</v>
      </c>
      <c r="PE25" s="1">
        <f t="shared" si="13"/>
        <v>0</v>
      </c>
      <c r="PF25" s="1">
        <f t="shared" si="13"/>
        <v>0</v>
      </c>
      <c r="PG25" s="1">
        <f t="shared" si="13"/>
        <v>0</v>
      </c>
      <c r="PH25" s="1">
        <f t="shared" si="13"/>
        <v>0</v>
      </c>
      <c r="PI25" s="1">
        <f t="shared" si="13"/>
        <v>0</v>
      </c>
      <c r="PP25" s="1">
        <f>SUM(PP9:PP24)</f>
        <v>0</v>
      </c>
      <c r="PQ25" s="1">
        <f>SUM(PQ9:PQ24)</f>
        <v>0</v>
      </c>
      <c r="PR25" s="1">
        <f>SUM(PR9:PR24)</f>
        <v>0</v>
      </c>
      <c r="PT25" s="1">
        <f>SUM(PT9:PT24)</f>
        <v>0</v>
      </c>
      <c r="PV25" s="1">
        <f>SUM(PV9:PV24)</f>
        <v>0</v>
      </c>
      <c r="PW25" s="1">
        <f>SUM(PW9:PW24)</f>
        <v>0</v>
      </c>
      <c r="QA25" s="1" t="s">
        <v>556</v>
      </c>
      <c r="QC25" s="1">
        <f t="shared" ref="QC25:QL25" si="14">SUM(QC9:QC24)</f>
        <v>0.075</v>
      </c>
      <c r="QD25" s="1">
        <f t="shared" si="14"/>
        <v>0</v>
      </c>
      <c r="QE25" s="1">
        <f t="shared" si="14"/>
        <v>0</v>
      </c>
      <c r="QF25" s="1">
        <f t="shared" si="14"/>
        <v>0</v>
      </c>
      <c r="QG25" s="1">
        <f t="shared" si="14"/>
        <v>0</v>
      </c>
      <c r="QH25" s="1">
        <f t="shared" si="14"/>
        <v>0</v>
      </c>
      <c r="QI25" s="1">
        <f t="shared" si="14"/>
        <v>0</v>
      </c>
      <c r="QJ25" s="1">
        <f t="shared" si="14"/>
        <v>0</v>
      </c>
      <c r="QK25" s="1">
        <f t="shared" si="14"/>
        <v>0</v>
      </c>
      <c r="QL25" s="1">
        <f t="shared" si="14"/>
        <v>0</v>
      </c>
      <c r="QS25" s="1">
        <f>SUM(QS9:QS24)</f>
        <v>0</v>
      </c>
      <c r="QT25" s="1">
        <f>SUM(QT9:QT24)</f>
        <v>0</v>
      </c>
      <c r="QU25" s="1">
        <f>SUM(QU9:QU24)</f>
        <v>0</v>
      </c>
      <c r="QW25" s="1">
        <f>SUM(QW9:QW24)</f>
        <v>0</v>
      </c>
      <c r="QY25" s="1">
        <f>SUM(QY9:QY24)</f>
        <v>0</v>
      </c>
      <c r="QZ25" s="1">
        <f>SUM(QZ9:QZ24)</f>
        <v>0</v>
      </c>
      <c r="RD25" s="1" t="s">
        <v>556</v>
      </c>
      <c r="RF25" s="1">
        <f t="shared" ref="RF25:RO25" si="15">SUM(RF9:RF24)</f>
        <v>0.075</v>
      </c>
      <c r="RG25" s="1">
        <f t="shared" si="15"/>
        <v>0</v>
      </c>
      <c r="RH25" s="1">
        <f t="shared" si="15"/>
        <v>0</v>
      </c>
      <c r="RI25" s="1">
        <f t="shared" si="15"/>
        <v>0</v>
      </c>
      <c r="RJ25" s="1">
        <f t="shared" si="15"/>
        <v>0</v>
      </c>
      <c r="RK25" s="1">
        <f t="shared" si="15"/>
        <v>0</v>
      </c>
      <c r="RL25" s="1">
        <f t="shared" si="15"/>
        <v>0</v>
      </c>
      <c r="RM25" s="1">
        <f t="shared" si="15"/>
        <v>0</v>
      </c>
      <c r="RN25" s="1">
        <f t="shared" si="15"/>
        <v>0</v>
      </c>
      <c r="RO25" s="1">
        <f t="shared" si="15"/>
        <v>0</v>
      </c>
      <c r="RV25" s="1">
        <f>SUM(RV9:RV24)</f>
        <v>0</v>
      </c>
      <c r="RW25" s="1">
        <f>SUM(RW9:RW24)</f>
        <v>0</v>
      </c>
      <c r="RX25" s="1">
        <f>SUM(RX9:RX24)</f>
        <v>0</v>
      </c>
      <c r="RZ25" s="1">
        <f>SUM(RZ9:RZ24)</f>
        <v>0</v>
      </c>
      <c r="SB25" s="1">
        <f>SUM(SB9:SB24)</f>
        <v>0</v>
      </c>
      <c r="SC25" s="1">
        <f>SUM(SC9:SC24)</f>
        <v>0</v>
      </c>
      <c r="SG25" s="1" t="s">
        <v>556</v>
      </c>
      <c r="SI25" s="1">
        <f t="shared" ref="SI25:SR25" si="16">SUM(SI9:SI24)</f>
        <v>0.075</v>
      </c>
      <c r="SJ25" s="1">
        <f t="shared" si="16"/>
        <v>0</v>
      </c>
      <c r="SK25" s="1">
        <f t="shared" si="16"/>
        <v>0</v>
      </c>
      <c r="SL25" s="1">
        <f t="shared" si="16"/>
        <v>0</v>
      </c>
      <c r="SM25" s="1">
        <f t="shared" si="16"/>
        <v>0</v>
      </c>
      <c r="SN25" s="1">
        <f t="shared" si="16"/>
        <v>0</v>
      </c>
      <c r="SO25" s="1">
        <f t="shared" si="16"/>
        <v>0</v>
      </c>
      <c r="SP25" s="1">
        <f t="shared" si="16"/>
        <v>0</v>
      </c>
      <c r="SQ25" s="1">
        <f t="shared" si="16"/>
        <v>0</v>
      </c>
      <c r="SR25" s="1">
        <f t="shared" si="16"/>
        <v>0</v>
      </c>
      <c r="SY25" s="1">
        <f>SUM(SY9:SY24)</f>
        <v>0</v>
      </c>
      <c r="SZ25" s="1">
        <f>SUM(SZ9:SZ24)</f>
        <v>0</v>
      </c>
      <c r="TA25" s="1">
        <f>SUM(TA9:TA24)</f>
        <v>0</v>
      </c>
      <c r="TC25" s="1">
        <f>SUM(TC9:TC24)</f>
        <v>0</v>
      </c>
      <c r="TE25" s="1">
        <f>SUM(TE9:TE24)</f>
        <v>0</v>
      </c>
      <c r="TF25" s="1">
        <f>SUM(TF9:TF24)</f>
        <v>0</v>
      </c>
      <c r="TJ25" s="1" t="s">
        <v>556</v>
      </c>
      <c r="TL25" s="1">
        <f t="shared" ref="TL25:TU25" si="17">SUM(TL9:TL24)</f>
        <v>0.075</v>
      </c>
      <c r="TM25" s="1">
        <f t="shared" si="17"/>
        <v>0</v>
      </c>
      <c r="TN25" s="1">
        <f t="shared" si="17"/>
        <v>0</v>
      </c>
      <c r="TO25" s="1">
        <f t="shared" si="17"/>
        <v>0</v>
      </c>
      <c r="TP25" s="1">
        <f t="shared" si="17"/>
        <v>0</v>
      </c>
      <c r="TQ25" s="1">
        <f t="shared" si="17"/>
        <v>0</v>
      </c>
      <c r="TR25" s="1">
        <f t="shared" si="17"/>
        <v>0</v>
      </c>
      <c r="TS25" s="1">
        <f t="shared" si="17"/>
        <v>0</v>
      </c>
      <c r="TT25" s="1">
        <f t="shared" si="17"/>
        <v>0</v>
      </c>
      <c r="TU25" s="1">
        <f t="shared" si="17"/>
        <v>0</v>
      </c>
      <c r="UB25" s="1">
        <f>SUM(UB9:UB24)</f>
        <v>0</v>
      </c>
      <c r="UC25" s="1">
        <f>SUM(UC9:UC24)</f>
        <v>0</v>
      </c>
      <c r="UD25" s="1">
        <f>SUM(UD9:UD24)</f>
        <v>0</v>
      </c>
      <c r="UF25" s="1">
        <f>SUM(UF9:UF24)</f>
        <v>0</v>
      </c>
      <c r="UH25" s="1">
        <f>SUM(UH9:UH24)</f>
        <v>0</v>
      </c>
      <c r="UI25" s="1">
        <f>SUM(UI9:UI24)</f>
        <v>0</v>
      </c>
      <c r="UM25" s="1" t="s">
        <v>556</v>
      </c>
      <c r="UO25" s="1">
        <f t="shared" ref="UO25:UX25" si="18">SUM(UO9:UO24)</f>
        <v>0.075</v>
      </c>
      <c r="UP25" s="1">
        <f t="shared" si="18"/>
        <v>0</v>
      </c>
      <c r="UQ25" s="1">
        <f t="shared" si="18"/>
        <v>0</v>
      </c>
      <c r="UR25" s="1">
        <f t="shared" si="18"/>
        <v>0</v>
      </c>
      <c r="US25" s="1">
        <f t="shared" si="18"/>
        <v>0</v>
      </c>
      <c r="UT25" s="1">
        <f t="shared" si="18"/>
        <v>0</v>
      </c>
      <c r="UU25" s="1">
        <f t="shared" si="18"/>
        <v>0</v>
      </c>
      <c r="UV25" s="1">
        <f t="shared" si="18"/>
        <v>0</v>
      </c>
      <c r="UW25" s="1">
        <f t="shared" si="18"/>
        <v>0</v>
      </c>
      <c r="UX25" s="1">
        <f t="shared" si="18"/>
        <v>0</v>
      </c>
      <c r="VE25" s="1">
        <f>SUM(VE9:VE24)</f>
        <v>0.075</v>
      </c>
      <c r="VF25" s="1">
        <f>SUM(VF9:VF24)</f>
        <v>0</v>
      </c>
      <c r="VG25" s="1">
        <f>SUM(VG9:VG24)</f>
        <v>0</v>
      </c>
      <c r="VI25" s="1">
        <f>SUM(VI9:VI24)</f>
        <v>0</v>
      </c>
      <c r="VK25" s="1">
        <f>SUM(VK9:VK24)</f>
        <v>0</v>
      </c>
      <c r="VL25" s="1">
        <f>SUM(VL9:VL24)</f>
        <v>0</v>
      </c>
      <c r="VP25" s="1" t="s">
        <v>556</v>
      </c>
      <c r="VR25" s="1">
        <f t="shared" ref="VR25:WA25" si="19">SUM(VR9:VR24)</f>
        <v>0.075</v>
      </c>
      <c r="VS25" s="1">
        <f t="shared" si="19"/>
        <v>0</v>
      </c>
      <c r="VT25" s="1">
        <f t="shared" si="19"/>
        <v>0</v>
      </c>
      <c r="VU25" s="1">
        <f t="shared" si="19"/>
        <v>0</v>
      </c>
      <c r="VV25" s="1">
        <f t="shared" si="19"/>
        <v>0</v>
      </c>
      <c r="VW25" s="1">
        <f t="shared" si="19"/>
        <v>0</v>
      </c>
      <c r="VX25" s="1">
        <f t="shared" si="19"/>
        <v>0</v>
      </c>
      <c r="VY25" s="1">
        <f t="shared" si="19"/>
        <v>0</v>
      </c>
      <c r="VZ25" s="1">
        <f t="shared" si="19"/>
        <v>0</v>
      </c>
      <c r="WA25" s="1">
        <f t="shared" si="19"/>
        <v>0</v>
      </c>
      <c r="WH25" s="1">
        <f>SUM(WH9:WH24)</f>
        <v>0</v>
      </c>
      <c r="WI25" s="1">
        <f>SUM(WI9:WI24)</f>
        <v>0</v>
      </c>
      <c r="WJ25" s="1">
        <f>SUM(WJ9:WJ24)</f>
        <v>0</v>
      </c>
      <c r="WL25" s="1">
        <f>SUM(WL9:WL24)</f>
        <v>0</v>
      </c>
      <c r="WN25" s="1">
        <f>SUM(WN9:WN24)</f>
        <v>0.1675</v>
      </c>
      <c r="WO25" s="1">
        <f>SUM(WO9:WO24)</f>
        <v>0</v>
      </c>
    </row>
    <row r="27" spans="35:616">
      <c r="AK27" s="2" t="s">
        <v>46</v>
      </c>
      <c r="AX27" s="2" t="s">
        <v>45</v>
      </c>
      <c r="AY27" s="2" t="s">
        <v>231</v>
      </c>
      <c r="AZ27" s="2" t="s">
        <v>557</v>
      </c>
      <c r="BA27" s="2" t="s">
        <v>558</v>
      </c>
      <c r="BB27" s="2" t="s">
        <v>559</v>
      </c>
      <c r="BC27" s="2" t="s">
        <v>560</v>
      </c>
      <c r="BE27" s="2" t="s">
        <v>561</v>
      </c>
      <c r="BF27" s="2" t="s">
        <v>562</v>
      </c>
      <c r="BG27" s="2" t="s">
        <v>563</v>
      </c>
      <c r="BH27" s="2" t="s">
        <v>36</v>
      </c>
      <c r="BI27" s="2" t="s">
        <v>38</v>
      </c>
      <c r="BJ27" s="2" t="s">
        <v>44</v>
      </c>
      <c r="BL27" s="2" t="s">
        <v>564</v>
      </c>
      <c r="BM27" s="6">
        <f>IF(AX28=BH27,BH28,0)*AK$8</f>
        <v>0</v>
      </c>
      <c r="BN27" s="2" t="s">
        <v>46</v>
      </c>
      <c r="CA27" s="2" t="s">
        <v>45</v>
      </c>
      <c r="CB27" s="2" t="s">
        <v>231</v>
      </c>
      <c r="CC27" s="2" t="s">
        <v>557</v>
      </c>
      <c r="CD27" s="2" t="s">
        <v>558</v>
      </c>
      <c r="CE27" s="2" t="s">
        <v>559</v>
      </c>
      <c r="CF27" s="2" t="s">
        <v>560</v>
      </c>
      <c r="CH27" s="2" t="s">
        <v>561</v>
      </c>
      <c r="CI27" s="2" t="s">
        <v>562</v>
      </c>
      <c r="CJ27" s="2" t="s">
        <v>563</v>
      </c>
      <c r="CK27" s="2" t="s">
        <v>36</v>
      </c>
      <c r="CL27" s="2" t="s">
        <v>38</v>
      </c>
      <c r="CM27" s="2" t="s">
        <v>44</v>
      </c>
      <c r="CO27" s="2" t="s">
        <v>564</v>
      </c>
      <c r="CP27" s="6">
        <f>IF(CA28=CK27,CK28,0)*BN$8</f>
        <v>0</v>
      </c>
      <c r="CQ27" s="2" t="s">
        <v>46</v>
      </c>
      <c r="DD27" s="2" t="s">
        <v>45</v>
      </c>
      <c r="DE27" s="2" t="s">
        <v>231</v>
      </c>
      <c r="DF27" s="2" t="s">
        <v>557</v>
      </c>
      <c r="DG27" s="2" t="s">
        <v>558</v>
      </c>
      <c r="DH27" s="2" t="s">
        <v>559</v>
      </c>
      <c r="DI27" s="2" t="s">
        <v>560</v>
      </c>
      <c r="DK27" s="2" t="s">
        <v>561</v>
      </c>
      <c r="DL27" s="2" t="s">
        <v>562</v>
      </c>
      <c r="DM27" s="2" t="s">
        <v>563</v>
      </c>
      <c r="DN27" s="2" t="s">
        <v>36</v>
      </c>
      <c r="DO27" s="2" t="s">
        <v>38</v>
      </c>
      <c r="DP27" s="2" t="s">
        <v>44</v>
      </c>
      <c r="DR27" s="2" t="s">
        <v>564</v>
      </c>
      <c r="DS27" s="6">
        <f>IF(DD28=DN27,DN28,0)*CQ$8</f>
        <v>0</v>
      </c>
      <c r="DT27" s="2" t="s">
        <v>46</v>
      </c>
      <c r="EG27" s="2" t="s">
        <v>45</v>
      </c>
      <c r="EH27" s="2" t="s">
        <v>231</v>
      </c>
      <c r="EI27" s="2" t="s">
        <v>557</v>
      </c>
      <c r="EJ27" s="2" t="s">
        <v>558</v>
      </c>
      <c r="EK27" s="2" t="s">
        <v>559</v>
      </c>
      <c r="EL27" s="2" t="s">
        <v>560</v>
      </c>
      <c r="EN27" s="2" t="s">
        <v>561</v>
      </c>
      <c r="EO27" s="2" t="s">
        <v>562</v>
      </c>
      <c r="EP27" s="2" t="s">
        <v>563</v>
      </c>
      <c r="EQ27" s="2" t="s">
        <v>36</v>
      </c>
      <c r="ER27" s="2" t="s">
        <v>38</v>
      </c>
      <c r="ES27" s="2" t="s">
        <v>44</v>
      </c>
      <c r="EU27" s="2" t="s">
        <v>564</v>
      </c>
      <c r="EV27" s="6">
        <f>IF(EG28=EQ27,EQ28,0)*DT$8</f>
        <v>0</v>
      </c>
      <c r="EW27" s="2" t="s">
        <v>46</v>
      </c>
      <c r="FJ27" s="2" t="s">
        <v>45</v>
      </c>
      <c r="FK27" s="2" t="s">
        <v>231</v>
      </c>
      <c r="FL27" s="2" t="s">
        <v>557</v>
      </c>
      <c r="FM27" s="2" t="s">
        <v>558</v>
      </c>
      <c r="FN27" s="2" t="s">
        <v>559</v>
      </c>
      <c r="FO27" s="2" t="s">
        <v>560</v>
      </c>
      <c r="FQ27" s="2" t="s">
        <v>561</v>
      </c>
      <c r="FR27" s="2" t="s">
        <v>562</v>
      </c>
      <c r="FS27" s="2" t="s">
        <v>563</v>
      </c>
      <c r="FT27" s="2" t="s">
        <v>36</v>
      </c>
      <c r="FU27" s="2" t="s">
        <v>38</v>
      </c>
      <c r="FV27" s="2" t="s">
        <v>44</v>
      </c>
      <c r="FX27" s="2" t="s">
        <v>564</v>
      </c>
      <c r="FY27" s="6">
        <f>IF(FJ28=FT27,FT28,0)*EW$8</f>
        <v>0</v>
      </c>
      <c r="FZ27" s="2" t="s">
        <v>46</v>
      </c>
      <c r="GM27" s="2" t="s">
        <v>45</v>
      </c>
      <c r="GN27" s="2" t="s">
        <v>231</v>
      </c>
      <c r="GO27" s="2" t="s">
        <v>557</v>
      </c>
      <c r="GP27" s="2" t="s">
        <v>558</v>
      </c>
      <c r="GQ27" s="2" t="s">
        <v>559</v>
      </c>
      <c r="GR27" s="2" t="s">
        <v>560</v>
      </c>
      <c r="GT27" s="2" t="s">
        <v>561</v>
      </c>
      <c r="GU27" s="2" t="s">
        <v>562</v>
      </c>
      <c r="GV27" s="2" t="s">
        <v>563</v>
      </c>
      <c r="GW27" s="2" t="s">
        <v>36</v>
      </c>
      <c r="GX27" s="2" t="s">
        <v>38</v>
      </c>
      <c r="GY27" s="2" t="s">
        <v>44</v>
      </c>
      <c r="HA27" s="2" t="s">
        <v>564</v>
      </c>
      <c r="HB27" s="6">
        <f>IF(GM28=GW27,GW28,0)*FZ$8</f>
        <v>0</v>
      </c>
      <c r="HC27" s="2" t="s">
        <v>46</v>
      </c>
      <c r="HP27" s="2" t="s">
        <v>45</v>
      </c>
      <c r="HQ27" s="2" t="s">
        <v>231</v>
      </c>
      <c r="HR27" s="2" t="s">
        <v>557</v>
      </c>
      <c r="HS27" s="2" t="s">
        <v>558</v>
      </c>
      <c r="HT27" s="2" t="s">
        <v>559</v>
      </c>
      <c r="HU27" s="2" t="s">
        <v>560</v>
      </c>
      <c r="HW27" s="2" t="s">
        <v>561</v>
      </c>
      <c r="HX27" s="2" t="s">
        <v>562</v>
      </c>
      <c r="HY27" s="2" t="s">
        <v>563</v>
      </c>
      <c r="HZ27" s="2" t="s">
        <v>36</v>
      </c>
      <c r="IA27" s="2" t="s">
        <v>38</v>
      </c>
      <c r="IB27" s="2" t="s">
        <v>44</v>
      </c>
      <c r="ID27" s="2" t="s">
        <v>564</v>
      </c>
      <c r="IE27" s="6">
        <f>IF(HP28=HZ27,HZ28,0)*HC$8</f>
        <v>0</v>
      </c>
      <c r="IF27" s="2" t="s">
        <v>46</v>
      </c>
      <c r="IS27" s="2" t="s">
        <v>45</v>
      </c>
      <c r="IT27" s="2" t="s">
        <v>231</v>
      </c>
      <c r="IU27" s="2" t="s">
        <v>557</v>
      </c>
      <c r="IV27" s="2" t="s">
        <v>558</v>
      </c>
      <c r="IW27" s="2" t="s">
        <v>559</v>
      </c>
      <c r="IX27" s="2" t="s">
        <v>560</v>
      </c>
      <c r="IZ27" s="2" t="s">
        <v>561</v>
      </c>
      <c r="JA27" s="2" t="s">
        <v>562</v>
      </c>
      <c r="JB27" s="2" t="s">
        <v>563</v>
      </c>
      <c r="JC27" s="2" t="s">
        <v>36</v>
      </c>
      <c r="JD27" s="2" t="s">
        <v>38</v>
      </c>
      <c r="JE27" s="2" t="s">
        <v>44</v>
      </c>
      <c r="JG27" s="2" t="s">
        <v>564</v>
      </c>
      <c r="JH27" s="6">
        <f>IF(IS28=JC27,JC28,0)*IF$8</f>
        <v>0</v>
      </c>
      <c r="JI27" s="2" t="s">
        <v>46</v>
      </c>
      <c r="JV27" s="2" t="s">
        <v>45</v>
      </c>
      <c r="JW27" s="2" t="s">
        <v>231</v>
      </c>
      <c r="JX27" s="2" t="s">
        <v>557</v>
      </c>
      <c r="JY27" s="2" t="s">
        <v>558</v>
      </c>
      <c r="JZ27" s="2" t="s">
        <v>559</v>
      </c>
      <c r="KA27" s="2" t="s">
        <v>560</v>
      </c>
      <c r="KC27" s="2" t="s">
        <v>561</v>
      </c>
      <c r="KD27" s="2" t="s">
        <v>562</v>
      </c>
      <c r="KE27" s="2" t="s">
        <v>563</v>
      </c>
      <c r="KF27" s="2" t="s">
        <v>36</v>
      </c>
      <c r="KG27" s="2" t="s">
        <v>38</v>
      </c>
      <c r="KH27" s="2" t="s">
        <v>44</v>
      </c>
      <c r="KJ27" s="2" t="s">
        <v>564</v>
      </c>
      <c r="KK27" s="6">
        <f>IF(JV28=KF27,KF28,0)*JI$8</f>
        <v>0</v>
      </c>
      <c r="KL27" s="2" t="s">
        <v>46</v>
      </c>
      <c r="KY27" s="2" t="s">
        <v>45</v>
      </c>
      <c r="KZ27" s="2" t="s">
        <v>231</v>
      </c>
      <c r="LA27" s="2" t="s">
        <v>557</v>
      </c>
      <c r="LB27" s="2" t="s">
        <v>558</v>
      </c>
      <c r="LC27" s="2" t="s">
        <v>559</v>
      </c>
      <c r="LD27" s="2" t="s">
        <v>560</v>
      </c>
      <c r="LF27" s="2" t="s">
        <v>561</v>
      </c>
      <c r="LG27" s="2" t="s">
        <v>562</v>
      </c>
      <c r="LH27" s="2" t="s">
        <v>563</v>
      </c>
      <c r="LI27" s="2" t="s">
        <v>36</v>
      </c>
      <c r="LJ27" s="2" t="s">
        <v>38</v>
      </c>
      <c r="LK27" s="2" t="s">
        <v>44</v>
      </c>
      <c r="LM27" s="2" t="s">
        <v>564</v>
      </c>
      <c r="LN27" s="6">
        <f>IF(KY28=LI27,LI28,0)*KL$8</f>
        <v>0</v>
      </c>
      <c r="LO27" s="2" t="s">
        <v>46</v>
      </c>
      <c r="MB27" s="2" t="s">
        <v>45</v>
      </c>
      <c r="MC27" s="2" t="s">
        <v>231</v>
      </c>
      <c r="MD27" s="2" t="s">
        <v>557</v>
      </c>
      <c r="ME27" s="2" t="s">
        <v>558</v>
      </c>
      <c r="MF27" s="2" t="s">
        <v>559</v>
      </c>
      <c r="MG27" s="2" t="s">
        <v>560</v>
      </c>
      <c r="MI27" s="2" t="s">
        <v>561</v>
      </c>
      <c r="MJ27" s="2" t="s">
        <v>562</v>
      </c>
      <c r="MK27" s="2" t="s">
        <v>563</v>
      </c>
      <c r="ML27" s="2" t="s">
        <v>36</v>
      </c>
      <c r="MM27" s="2" t="s">
        <v>38</v>
      </c>
      <c r="MN27" s="2" t="s">
        <v>44</v>
      </c>
      <c r="MP27" s="2" t="s">
        <v>564</v>
      </c>
      <c r="MQ27" s="6">
        <f>IF(MB28=ML27,ML28,0)*LO$8</f>
        <v>0</v>
      </c>
      <c r="MR27" s="2" t="s">
        <v>46</v>
      </c>
      <c r="NE27" s="2" t="s">
        <v>45</v>
      </c>
      <c r="NF27" s="2" t="s">
        <v>231</v>
      </c>
      <c r="NG27" s="2" t="s">
        <v>557</v>
      </c>
      <c r="NH27" s="2" t="s">
        <v>558</v>
      </c>
      <c r="NI27" s="2" t="s">
        <v>559</v>
      </c>
      <c r="NJ27" s="2" t="s">
        <v>560</v>
      </c>
      <c r="NL27" s="2" t="s">
        <v>561</v>
      </c>
      <c r="NM27" s="2" t="s">
        <v>562</v>
      </c>
      <c r="NN27" s="2" t="s">
        <v>563</v>
      </c>
      <c r="NO27" s="2" t="s">
        <v>36</v>
      </c>
      <c r="NP27" s="2" t="s">
        <v>38</v>
      </c>
      <c r="NQ27" s="2" t="s">
        <v>44</v>
      </c>
      <c r="NS27" s="2" t="s">
        <v>564</v>
      </c>
      <c r="NT27" s="6">
        <f>IF(NE28=NO27,NO28,0)*MR$8</f>
        <v>0</v>
      </c>
      <c r="NU27" s="2" t="s">
        <v>46</v>
      </c>
      <c r="OH27" s="2" t="s">
        <v>45</v>
      </c>
      <c r="OI27" s="2" t="s">
        <v>231</v>
      </c>
      <c r="OJ27" s="2" t="s">
        <v>557</v>
      </c>
      <c r="OK27" s="2" t="s">
        <v>558</v>
      </c>
      <c r="OL27" s="2" t="s">
        <v>559</v>
      </c>
      <c r="OM27" s="2" t="s">
        <v>560</v>
      </c>
      <c r="OO27" s="2" t="s">
        <v>561</v>
      </c>
      <c r="OP27" s="2" t="s">
        <v>562</v>
      </c>
      <c r="OQ27" s="2" t="s">
        <v>563</v>
      </c>
      <c r="OR27" s="2" t="s">
        <v>36</v>
      </c>
      <c r="OS27" s="2" t="s">
        <v>38</v>
      </c>
      <c r="OT27" s="2" t="s">
        <v>44</v>
      </c>
      <c r="OV27" s="2" t="s">
        <v>564</v>
      </c>
      <c r="OW27" s="6">
        <f>IF(OH28=OR27,OR28,0)*NU$8</f>
        <v>0</v>
      </c>
      <c r="OX27" s="2" t="s">
        <v>46</v>
      </c>
      <c r="PK27" s="2" t="s">
        <v>45</v>
      </c>
      <c r="PL27" s="2" t="s">
        <v>231</v>
      </c>
      <c r="PM27" s="2" t="s">
        <v>557</v>
      </c>
      <c r="PN27" s="2" t="s">
        <v>558</v>
      </c>
      <c r="PO27" s="2" t="s">
        <v>559</v>
      </c>
      <c r="PP27" s="2" t="s">
        <v>560</v>
      </c>
      <c r="PR27" s="2" t="s">
        <v>561</v>
      </c>
      <c r="PS27" s="2" t="s">
        <v>562</v>
      </c>
      <c r="PT27" s="2" t="s">
        <v>563</v>
      </c>
      <c r="PU27" s="2" t="s">
        <v>36</v>
      </c>
      <c r="PV27" s="2" t="s">
        <v>38</v>
      </c>
      <c r="PW27" s="2" t="s">
        <v>44</v>
      </c>
      <c r="PY27" s="2" t="s">
        <v>564</v>
      </c>
      <c r="PZ27" s="6">
        <f>IF(PK28=PU27,PU28,0)*OX$8</f>
        <v>0</v>
      </c>
      <c r="QA27" s="2" t="s">
        <v>46</v>
      </c>
      <c r="QN27" s="2" t="s">
        <v>45</v>
      </c>
      <c r="QO27" s="2" t="s">
        <v>231</v>
      </c>
      <c r="QP27" s="2" t="s">
        <v>557</v>
      </c>
      <c r="QQ27" s="2" t="s">
        <v>558</v>
      </c>
      <c r="QR27" s="2" t="s">
        <v>559</v>
      </c>
      <c r="QS27" s="2" t="s">
        <v>560</v>
      </c>
      <c r="QU27" s="2" t="s">
        <v>561</v>
      </c>
      <c r="QV27" s="2" t="s">
        <v>562</v>
      </c>
      <c r="QW27" s="2" t="s">
        <v>563</v>
      </c>
      <c r="QX27" s="2" t="s">
        <v>36</v>
      </c>
      <c r="QY27" s="2" t="s">
        <v>38</v>
      </c>
      <c r="QZ27" s="2" t="s">
        <v>44</v>
      </c>
      <c r="RB27" s="2" t="s">
        <v>564</v>
      </c>
      <c r="RC27" s="6">
        <f>IF(QN28=QX27,QX28,0)*QA$8</f>
        <v>0</v>
      </c>
      <c r="RD27" s="2" t="s">
        <v>46</v>
      </c>
      <c r="RQ27" s="2" t="s">
        <v>45</v>
      </c>
      <c r="RR27" s="2" t="s">
        <v>231</v>
      </c>
      <c r="RS27" s="2" t="s">
        <v>557</v>
      </c>
      <c r="RT27" s="2" t="s">
        <v>558</v>
      </c>
      <c r="RU27" s="2" t="s">
        <v>559</v>
      </c>
      <c r="RV27" s="2" t="s">
        <v>560</v>
      </c>
      <c r="RX27" s="2" t="s">
        <v>561</v>
      </c>
      <c r="RY27" s="2" t="s">
        <v>562</v>
      </c>
      <c r="RZ27" s="2" t="s">
        <v>563</v>
      </c>
      <c r="SA27" s="2" t="s">
        <v>36</v>
      </c>
      <c r="SB27" s="2" t="s">
        <v>38</v>
      </c>
      <c r="SC27" s="2" t="s">
        <v>44</v>
      </c>
      <c r="SE27" s="2" t="s">
        <v>564</v>
      </c>
      <c r="SF27" s="6">
        <f>IF(RQ28=SA27,SA28,0)*RD$8</f>
        <v>0</v>
      </c>
      <c r="SG27" s="2" t="s">
        <v>46</v>
      </c>
      <c r="ST27" s="2" t="s">
        <v>45</v>
      </c>
      <c r="SU27" s="2" t="s">
        <v>231</v>
      </c>
      <c r="SV27" s="2" t="s">
        <v>557</v>
      </c>
      <c r="SW27" s="2" t="s">
        <v>558</v>
      </c>
      <c r="SX27" s="2" t="s">
        <v>559</v>
      </c>
      <c r="SY27" s="2" t="s">
        <v>560</v>
      </c>
      <c r="TA27" s="2" t="s">
        <v>561</v>
      </c>
      <c r="TB27" s="2" t="s">
        <v>562</v>
      </c>
      <c r="TC27" s="2" t="s">
        <v>563</v>
      </c>
      <c r="TD27" s="2" t="s">
        <v>36</v>
      </c>
      <c r="TE27" s="2" t="s">
        <v>38</v>
      </c>
      <c r="TF27" s="2" t="s">
        <v>44</v>
      </c>
      <c r="TH27" s="2" t="s">
        <v>564</v>
      </c>
      <c r="TI27" s="6">
        <f>IF(ST28=TD27,TD28,0)*SG$8</f>
        <v>0</v>
      </c>
      <c r="TJ27" s="2" t="s">
        <v>46</v>
      </c>
      <c r="TW27" s="2" t="s">
        <v>45</v>
      </c>
      <c r="TX27" s="2" t="s">
        <v>231</v>
      </c>
      <c r="TY27" s="2" t="s">
        <v>557</v>
      </c>
      <c r="TZ27" s="2" t="s">
        <v>558</v>
      </c>
      <c r="UA27" s="2" t="s">
        <v>559</v>
      </c>
      <c r="UB27" s="2" t="s">
        <v>560</v>
      </c>
      <c r="UD27" s="2" t="s">
        <v>561</v>
      </c>
      <c r="UE27" s="2" t="s">
        <v>562</v>
      </c>
      <c r="UF27" s="2" t="s">
        <v>563</v>
      </c>
      <c r="UG27" s="2" t="s">
        <v>36</v>
      </c>
      <c r="UH27" s="2" t="s">
        <v>38</v>
      </c>
      <c r="UI27" s="2" t="s">
        <v>44</v>
      </c>
      <c r="UK27" s="2" t="s">
        <v>564</v>
      </c>
      <c r="UL27" s="6">
        <f>IF(TW28=UG27,UG28,0)*TJ$8</f>
        <v>0</v>
      </c>
      <c r="UM27" s="2" t="s">
        <v>46</v>
      </c>
      <c r="UZ27" s="2" t="s">
        <v>45</v>
      </c>
      <c r="VA27" s="2" t="s">
        <v>231</v>
      </c>
      <c r="VB27" s="2" t="s">
        <v>557</v>
      </c>
      <c r="VC27" s="2" t="s">
        <v>558</v>
      </c>
      <c r="VD27" s="2" t="s">
        <v>559</v>
      </c>
      <c r="VE27" s="2" t="s">
        <v>560</v>
      </c>
      <c r="VG27" s="2" t="s">
        <v>561</v>
      </c>
      <c r="VH27" s="2" t="s">
        <v>562</v>
      </c>
      <c r="VI27" s="2" t="s">
        <v>563</v>
      </c>
      <c r="VJ27" s="2" t="s">
        <v>36</v>
      </c>
      <c r="VK27" s="2" t="s">
        <v>38</v>
      </c>
      <c r="VL27" s="2" t="s">
        <v>44</v>
      </c>
      <c r="VN27" s="2" t="s">
        <v>564</v>
      </c>
      <c r="VO27" s="6">
        <f>IF(UZ28=VJ27,VJ28,0)*UM$8</f>
        <v>0</v>
      </c>
      <c r="VP27" s="2" t="s">
        <v>46</v>
      </c>
      <c r="WC27" s="2" t="s">
        <v>45</v>
      </c>
      <c r="WD27" s="2" t="s">
        <v>231</v>
      </c>
      <c r="WE27" s="2" t="s">
        <v>557</v>
      </c>
      <c r="WF27" s="2" t="s">
        <v>558</v>
      </c>
      <c r="WG27" s="2" t="s">
        <v>559</v>
      </c>
      <c r="WH27" s="2" t="s">
        <v>560</v>
      </c>
      <c r="WJ27" s="2" t="s">
        <v>561</v>
      </c>
      <c r="WK27" s="2" t="s">
        <v>562</v>
      </c>
      <c r="WL27" s="2" t="s">
        <v>563</v>
      </c>
      <c r="WM27" s="2" t="s">
        <v>36</v>
      </c>
      <c r="WN27" s="2" t="s">
        <v>38</v>
      </c>
      <c r="WO27" s="2" t="s">
        <v>44</v>
      </c>
      <c r="WQ27" s="2" t="s">
        <v>564</v>
      </c>
      <c r="WR27" s="6">
        <f>IF(WC28=WM27,WM28,0)*VP$8</f>
        <v>222831.546083888</v>
      </c>
    </row>
    <row r="28" spans="35:616">
      <c r="AK28" s="2" cm="1">
        <f t="array" ref="AK28">INDEX(云配队!$J12:$AC12,1,AK$1)</f>
        <v>0</v>
      </c>
      <c r="AX28" s="2" cm="1">
        <f t="array" ref="AX28">INDEX(云配队!$J$11:$AC$11,1,AK1)</f>
        <v>0</v>
      </c>
      <c r="AY28" s="2" t="str" cm="1">
        <f t="array" ref="AY28">INDEX(云配队!$J$13:$AC$13,1,AK1)</f>
        <v>全队最高</v>
      </c>
      <c r="AZ28" s="2">
        <f>IF(AY28="全队最高",MATCH(MAX(AP4:AP7),AP4:AP7,0),MATCH(AY28,$D$4:$D$7,0))</f>
        <v>2</v>
      </c>
      <c r="BA28" s="2" cm="1">
        <f t="array" ref="BA28">INDEX(AP4:AP7,AZ28)</f>
        <v>270</v>
      </c>
      <c r="BB28" s="2">
        <f>0.2*BA28/(BA28+180)</f>
        <v>0.12</v>
      </c>
      <c r="BC28" s="2">
        <f>IF(IFERROR(VLOOKUP(AX28,中间!$O$2:$P$10,2,FALSE),0),(1+中间!$Q$5)*(1+BB28),1)</f>
        <v>1</v>
      </c>
      <c r="BE28" s="4">
        <f>BA28/300</f>
        <v>0.9</v>
      </c>
      <c r="BF28" s="2">
        <f>$B$4/($B$4+$C$4*(1-BI25))</f>
        <v>0.542961856929551</v>
      </c>
      <c r="BG28" s="2" cm="1">
        <f t="array" ref="BG28">INDEX(BG4:BG7,AZ28,0)</f>
        <v>0.8</v>
      </c>
      <c r="BH28" s="6">
        <f>$AB$10*(1+BE28)*BF28*(1+$AE$10)*5*BG28</f>
        <v>148554.364055925</v>
      </c>
      <c r="BI28" s="6">
        <f>$AC$10*(1+BE28)*(1+50%*BI30)*BF28*(1+$AF$10)*15*BG28</f>
        <v>45123.3880819872</v>
      </c>
      <c r="BJ28" s="6">
        <f>$AD$10*(1+BE28)*(1+$AG$10)*BG28</f>
        <v>68400</v>
      </c>
      <c r="BL28" s="2" t="s">
        <v>565</v>
      </c>
      <c r="BM28" s="6">
        <f>IF(AX28=BI27,BI28,0)*AK$8</f>
        <v>0</v>
      </c>
      <c r="BN28" s="2" cm="1">
        <f t="array" ref="BN28">INDEX(云配队!$J12:$AC12,1,BN$1)</f>
        <v>0</v>
      </c>
      <c r="CA28" s="2" cm="1">
        <f t="array" ref="CA28">INDEX(云配队!$J$11:$AC$11,1,BN1)</f>
        <v>0</v>
      </c>
      <c r="CB28" s="2" t="str" cm="1">
        <f t="array" ref="CB28">INDEX(云配队!$J$13:$AC$13,1,BN1)</f>
        <v>全队最高</v>
      </c>
      <c r="CC28" s="2">
        <f>IF(CB28="全队最高",MATCH(MAX(BS4:BS7),BS4:BS7,0),MATCH(CB28,$D$4:$D$7,0))</f>
        <v>2</v>
      </c>
      <c r="CD28" s="2" cm="1">
        <f t="array" ref="CD28">INDEX(BS4:BS7,CC28)</f>
        <v>270</v>
      </c>
      <c r="CE28" s="2">
        <f>0.2*CD28/(CD28+180)</f>
        <v>0.12</v>
      </c>
      <c r="CF28" s="2">
        <f>IF(IFERROR(VLOOKUP(CA28,中间!$O$2:$P$10,2,FALSE),0),(1+中间!$Q$5)*(1+CE28),1)</f>
        <v>1</v>
      </c>
      <c r="CH28" s="4">
        <f>CD28/300</f>
        <v>0.9</v>
      </c>
      <c r="CI28" s="2">
        <f>$B$4/($B$4+$C$4*(1-CL25))</f>
        <v>0.568720379146919</v>
      </c>
      <c r="CJ28" s="2" cm="1">
        <f t="array" ref="CJ28">INDEX(CJ4:CJ7,CC28,0)</f>
        <v>0.8</v>
      </c>
      <c r="CK28" s="6">
        <f>$AB$10*(1+CH28)*CI28*(1+$AE$10)*5*CJ28</f>
        <v>155601.895734597</v>
      </c>
      <c r="CL28" s="6">
        <f>$AC$10*(1+CH28)*(1+50%*CL30)*CI28*(1+$AF$10)*15*CJ28</f>
        <v>47264.0758293839</v>
      </c>
      <c r="CM28" s="6">
        <f>$AD$10*(1+CH28)*(1+$AG$10)*CJ28</f>
        <v>68400</v>
      </c>
      <c r="CO28" s="2" t="s">
        <v>565</v>
      </c>
      <c r="CP28" s="6">
        <f>IF(CA28=CL27,CL28,0)*BN$8</f>
        <v>0</v>
      </c>
      <c r="CQ28" s="2" cm="1">
        <f t="array" ref="CQ28">INDEX(云配队!$J12:$AC12,1,CQ$1)</f>
        <v>0</v>
      </c>
      <c r="DD28" s="2" cm="1">
        <f t="array" ref="DD28">INDEX(云配队!$J$11:$AC$11,1,CQ1)</f>
        <v>0</v>
      </c>
      <c r="DE28" s="2" t="str" cm="1">
        <f t="array" ref="DE28">INDEX(云配队!$J$13:$AC$13,1,CQ1)</f>
        <v>全队最高</v>
      </c>
      <c r="DF28" s="2">
        <f>IF(DE28="全队最高",MATCH(MAX(CV4:CV7),CV4:CV7,0),MATCH(DE28,$D$4:$D$7,0))</f>
        <v>2</v>
      </c>
      <c r="DG28" s="2" cm="1">
        <f t="array" ref="DG28">INDEX(CV4:CV7,DF28)</f>
        <v>270</v>
      </c>
      <c r="DH28" s="2">
        <f>0.2*DG28/(DG28+180)</f>
        <v>0.12</v>
      </c>
      <c r="DI28" s="2">
        <f>IF(IFERROR(VLOOKUP(DD28,中间!$O$2:$P$10,2,FALSE),0),(1+中间!$Q$5)*(1+DH28),1)</f>
        <v>1</v>
      </c>
      <c r="DK28" s="4">
        <f>DG28/300</f>
        <v>0.9</v>
      </c>
      <c r="DL28" s="2">
        <f>$B$4/($B$4+$C$4*(1-DO25))</f>
        <v>0.497237569060773</v>
      </c>
      <c r="DM28" s="2" cm="1">
        <f t="array" ref="DM28">INDEX(DM4:DM7,DF28,0)</f>
        <v>0.8</v>
      </c>
      <c r="DN28" s="6">
        <f>$AB$10*(1+DK28)*DL28*(1+$AE$10)*5*DM28</f>
        <v>136044.198895028</v>
      </c>
      <c r="DO28" s="6">
        <f>$AC$10*(1+DK28)*(1+50%*DO30)*DL28*(1+$AF$10)*15*DM28</f>
        <v>45914.9171270718</v>
      </c>
      <c r="DP28" s="6">
        <f>$AD$10*(1+DK28)*(1+$AG$10)*DM28</f>
        <v>68400</v>
      </c>
      <c r="DR28" s="2" t="s">
        <v>565</v>
      </c>
      <c r="DS28" s="6">
        <f>IF(DD28=DO27,DO28,0)*CQ$8</f>
        <v>0</v>
      </c>
      <c r="DT28" s="2" cm="1">
        <f t="array" ref="DT28">INDEX(云配队!$J12:$AC12,1,DT$1)</f>
        <v>0</v>
      </c>
      <c r="EG28" s="2" cm="1">
        <f t="array" ref="EG28">INDEX(云配队!$J$11:$AC$11,1,DT1)</f>
        <v>0</v>
      </c>
      <c r="EH28" s="2" t="str" cm="1">
        <f t="array" ref="EH28">INDEX(云配队!$J$13:$AC$13,1,DT1)</f>
        <v>全队最高</v>
      </c>
      <c r="EI28" s="2">
        <f>IF(EH28="全队最高",MATCH(MAX(DY4:DY7),DY4:DY7,0),MATCH(EH28,$D$4:$D$7,0))</f>
        <v>2</v>
      </c>
      <c r="EJ28" s="2" cm="1">
        <f t="array" ref="EJ28">INDEX(DY4:DY7,EI28)</f>
        <v>270</v>
      </c>
      <c r="EK28" s="2">
        <f>0.2*EJ28/(EJ28+180)</f>
        <v>0.12</v>
      </c>
      <c r="EL28" s="2">
        <f>IF(IFERROR(VLOOKUP(EG28,中间!$O$2:$P$10,2,FALSE),0),(1+中间!$Q$5)*(1+EK28),1)</f>
        <v>1</v>
      </c>
      <c r="EN28" s="4">
        <f>EJ28/300</f>
        <v>0.9</v>
      </c>
      <c r="EO28" s="2">
        <f>$B$4/($B$4+$C$4*(1-ER25))</f>
        <v>0.497237569060773</v>
      </c>
      <c r="EP28" s="2" cm="1">
        <f t="array" ref="EP28">INDEX(EP4:EP7,EI28,0)</f>
        <v>0.8</v>
      </c>
      <c r="EQ28" s="6">
        <f>$AB$10*(1+EN28)*EO28*(1+$AE$10)*5*EP28</f>
        <v>136044.198895028</v>
      </c>
      <c r="ER28" s="6">
        <f>$AC$10*(1+EN28)*(1+50%*ER30)*EO28*(1+$AF$10)*15*EP28</f>
        <v>45914.9171270718</v>
      </c>
      <c r="ES28" s="6">
        <f>$AD$10*(1+EN28)*(1+$AG$10)*EP28</f>
        <v>68400</v>
      </c>
      <c r="EU28" s="2" t="s">
        <v>565</v>
      </c>
      <c r="EV28" s="6">
        <f>IF(EG28=ER27,ER28,0)*DT$8</f>
        <v>0</v>
      </c>
      <c r="EW28" s="2" cm="1">
        <f t="array" ref="EW28">INDEX(云配队!$J12:$AC12,1,EW$1)</f>
        <v>0</v>
      </c>
      <c r="FJ28" s="2" cm="1">
        <f t="array" ref="FJ28">INDEX(云配队!$J$11:$AC$11,1,EW1)</f>
        <v>0</v>
      </c>
      <c r="FK28" s="2" t="str" cm="1">
        <f t="array" ref="FK28">INDEX(云配队!$J$13:$AC$13,1,EW1)</f>
        <v>全队最高</v>
      </c>
      <c r="FL28" s="2">
        <f>IF(FK28="全队最高",MATCH(MAX(FB4:FB7),FB4:FB7,0),MATCH(FK28,$D$4:$D$7,0))</f>
        <v>2</v>
      </c>
      <c r="FM28" s="2" cm="1">
        <f t="array" ref="FM28">INDEX(FB4:FB7,FL28)</f>
        <v>270</v>
      </c>
      <c r="FN28" s="2">
        <f>0.2*FM28/(FM28+180)</f>
        <v>0.12</v>
      </c>
      <c r="FO28" s="2">
        <f>IF(IFERROR(VLOOKUP(FJ28,中间!$O$2:$P$10,2,FALSE),0),(1+中间!$Q$5)*(1+FN28),1)</f>
        <v>1</v>
      </c>
      <c r="FQ28" s="4">
        <f>FM28/300</f>
        <v>0.9</v>
      </c>
      <c r="FR28" s="2">
        <f>$B$4/($B$4+$C$4*(1-FU25))</f>
        <v>0.497237569060773</v>
      </c>
      <c r="FS28" s="2" cm="1">
        <f t="array" ref="FS28">INDEX(FS4:FS7,FL28,0)</f>
        <v>0.8</v>
      </c>
      <c r="FT28" s="6">
        <f>$AB$10*(1+FQ28)*FR28*(1+$AE$10)*5*FS28</f>
        <v>136044.198895028</v>
      </c>
      <c r="FU28" s="6">
        <f>$AC$10*(1+FQ28)*(1+50%*FU30)*FR28*(1+$AF$10)*15*FS28</f>
        <v>45914.9171270718</v>
      </c>
      <c r="FV28" s="6">
        <f>$AD$10*(1+FQ28)*(1+$AG$10)*FS28</f>
        <v>68400</v>
      </c>
      <c r="FX28" s="2" t="s">
        <v>565</v>
      </c>
      <c r="FY28" s="6">
        <f>IF(FJ28=FU27,FU28,0)*EW$8</f>
        <v>0</v>
      </c>
      <c r="FZ28" s="2" cm="1">
        <f t="array" ref="FZ28">INDEX(云配队!$J12:$AC12,1,FZ$1)</f>
        <v>0</v>
      </c>
      <c r="GM28" s="2" cm="1">
        <f t="array" ref="GM28">INDEX(云配队!$J$11:$AC$11,1,FZ1)</f>
        <v>0</v>
      </c>
      <c r="GN28" s="2" t="str" cm="1">
        <f t="array" ref="GN28">INDEX(云配队!$J$13:$AC$13,1,FZ1)</f>
        <v>全队最高</v>
      </c>
      <c r="GO28" s="2">
        <f>IF(GN28="全队最高",MATCH(MAX(GE4:GE7),GE4:GE7,0),MATCH(GN28,$D$4:$D$7,0))</f>
        <v>2</v>
      </c>
      <c r="GP28" s="2" cm="1">
        <f t="array" ref="GP28">INDEX(GE4:GE7,GO28)</f>
        <v>270</v>
      </c>
      <c r="GQ28" s="2">
        <f>0.2*GP28/(GP28+180)</f>
        <v>0.12</v>
      </c>
      <c r="GR28" s="2">
        <f>IF(IFERROR(VLOOKUP(GM28,中间!$O$2:$P$10,2,FALSE),0),(1+中间!$Q$5)*(1+GQ28),1)</f>
        <v>1</v>
      </c>
      <c r="GT28" s="4">
        <f>GP28/300</f>
        <v>0.9</v>
      </c>
      <c r="GU28" s="2">
        <f>$B$4/($B$4+$C$4*(1-GX25))</f>
        <v>0.497237569060773</v>
      </c>
      <c r="GV28" s="2" cm="1">
        <f t="array" ref="GV28">INDEX(GV4:GV7,GO28,0)</f>
        <v>0.8</v>
      </c>
      <c r="GW28" s="6">
        <f>$AB$10*(1+GT28)*GU28*(1+$AE$10)*5*GV28</f>
        <v>136044.198895028</v>
      </c>
      <c r="GX28" s="6">
        <f>$AC$10*(1+GT28)*(1+50%*GX30)*GU28*(1+$AF$10)*15*GV28</f>
        <v>45914.9171270718</v>
      </c>
      <c r="GY28" s="6">
        <f>$AD$10*(1+GT28)*(1+$AG$10)*GV28</f>
        <v>68400</v>
      </c>
      <c r="HA28" s="2" t="s">
        <v>565</v>
      </c>
      <c r="HB28" s="6">
        <f>IF(GM28=GX27,GX28,0)*FZ$8</f>
        <v>0</v>
      </c>
      <c r="HC28" s="2" cm="1">
        <f t="array" ref="HC28">INDEX(云配队!$J12:$AC12,1,HC$1)</f>
        <v>0</v>
      </c>
      <c r="HP28" s="2" cm="1">
        <f t="array" ref="HP28">INDEX(云配队!$J$11:$AC$11,1,HC1)</f>
        <v>0</v>
      </c>
      <c r="HQ28" s="2" t="str" cm="1">
        <f t="array" ref="HQ28">INDEX(云配队!$J$13:$AC$13,1,HC1)</f>
        <v>全队最高</v>
      </c>
      <c r="HR28" s="2">
        <f>IF(HQ28="全队最高",MATCH(MAX(HH4:HH7),HH4:HH7,0),MATCH(HQ28,$D$4:$D$7,0))</f>
        <v>2</v>
      </c>
      <c r="HS28" s="2" cm="1">
        <f t="array" ref="HS28">INDEX(HH4:HH7,HR28)</f>
        <v>270</v>
      </c>
      <c r="HT28" s="2">
        <f>0.2*HS28/(HS28+180)</f>
        <v>0.12</v>
      </c>
      <c r="HU28" s="2">
        <f>IF(IFERROR(VLOOKUP(HP28,中间!$O$2:$P$10,2,FALSE),0),(1+中间!$Q$5)*(1+HT28),1)</f>
        <v>1</v>
      </c>
      <c r="HW28" s="4">
        <f>HS28/300</f>
        <v>0.9</v>
      </c>
      <c r="HX28" s="2">
        <f>$B$4/($B$4+$C$4*(1-IA25))</f>
        <v>0.497237569060773</v>
      </c>
      <c r="HY28" s="2" cm="1">
        <f t="array" ref="HY28">INDEX(HY4:HY7,HR28,0)</f>
        <v>0.8</v>
      </c>
      <c r="HZ28" s="6">
        <f>$AB$10*(1+HW28)*HX28*(1+$AE$10)*5*HY28</f>
        <v>136044.198895028</v>
      </c>
      <c r="IA28" s="6">
        <f>$AC$10*(1+HW28)*(1+50%*IA30)*HX28*(1+$AF$10)*15*HY28</f>
        <v>45914.9171270718</v>
      </c>
      <c r="IB28" s="6">
        <f>$AD$10*(1+HW28)*(1+$AG$10)*HY28</f>
        <v>68400</v>
      </c>
      <c r="ID28" s="2" t="s">
        <v>565</v>
      </c>
      <c r="IE28" s="6">
        <f>IF(HP28=IA27,IA28,0)*HC$8</f>
        <v>0</v>
      </c>
      <c r="IF28" s="2" cm="1">
        <f t="array" ref="IF28">INDEX(云配队!$J12:$AC12,1,IF$1)</f>
        <v>0</v>
      </c>
      <c r="IS28" s="2" cm="1">
        <f t="array" ref="IS28">INDEX(云配队!$J$11:$AC$11,1,IF1)</f>
        <v>0</v>
      </c>
      <c r="IT28" s="2" t="str" cm="1">
        <f t="array" ref="IT28">INDEX(云配队!$J$13:$AC$13,1,IF1)</f>
        <v>全队最高</v>
      </c>
      <c r="IU28" s="2">
        <f>IF(IT28="全队最高",MATCH(MAX(IK4:IK7),IK4:IK7,0),MATCH(IT28,$D$4:$D$7,0))</f>
        <v>2</v>
      </c>
      <c r="IV28" s="2" cm="1">
        <f t="array" ref="IV28">INDEX(IK4:IK7,IU28)</f>
        <v>270</v>
      </c>
      <c r="IW28" s="2">
        <f>0.2*IV28/(IV28+180)</f>
        <v>0.12</v>
      </c>
      <c r="IX28" s="2">
        <f>IF(IFERROR(VLOOKUP(IS28,中间!$O$2:$P$10,2,FALSE),0),(1+中间!$Q$5)*(1+IW28),1)</f>
        <v>1</v>
      </c>
      <c r="IZ28" s="4">
        <f>IV28/300</f>
        <v>0.9</v>
      </c>
      <c r="JA28" s="2">
        <f>$B$4/($B$4+$C$4*(1-JD25))</f>
        <v>0.497237569060773</v>
      </c>
      <c r="JB28" s="2" cm="1">
        <f t="array" ref="JB28">INDEX(JB4:JB7,IU28,0)</f>
        <v>0.8</v>
      </c>
      <c r="JC28" s="6">
        <f>$AB$10*(1+IZ28)*JA28*(1+$AE$10)*5*JB28</f>
        <v>136044.198895028</v>
      </c>
      <c r="JD28" s="6">
        <f>$AC$10*(1+IZ28)*(1+50%*JD30)*JA28*(1+$AF$10)*15*JB28</f>
        <v>45914.9171270718</v>
      </c>
      <c r="JE28" s="6">
        <f>$AD$10*(1+IZ28)*(1+$AG$10)*JB28</f>
        <v>68400</v>
      </c>
      <c r="JG28" s="2" t="s">
        <v>565</v>
      </c>
      <c r="JH28" s="6">
        <f>IF(IS28=JD27,JD28,0)*IF$8</f>
        <v>0</v>
      </c>
      <c r="JI28" s="2" cm="1">
        <f t="array" ref="JI28">INDEX(云配队!$J12:$AC12,1,JI$1)</f>
        <v>0</v>
      </c>
      <c r="JV28" s="2" cm="1">
        <f t="array" ref="JV28">INDEX(云配队!$J$11:$AC$11,1,JI1)</f>
        <v>0</v>
      </c>
      <c r="JW28" s="2" t="str" cm="1">
        <f t="array" ref="JW28">INDEX(云配队!$J$13:$AC$13,1,JI1)</f>
        <v>全队最高</v>
      </c>
      <c r="JX28" s="2">
        <f>IF(JW28="全队最高",MATCH(MAX(JN4:JN7),JN4:JN7,0),MATCH(JW28,$D$4:$D$7,0))</f>
        <v>2</v>
      </c>
      <c r="JY28" s="2" cm="1">
        <f t="array" ref="JY28">INDEX(JN4:JN7,JX28)</f>
        <v>270</v>
      </c>
      <c r="JZ28" s="2">
        <f>0.2*JY28/(JY28+180)</f>
        <v>0.12</v>
      </c>
      <c r="KA28" s="2">
        <f>IF(IFERROR(VLOOKUP(JV28,中间!$O$2:$P$10,2,FALSE),0),(1+中间!$Q$5)*(1+JZ28),1)</f>
        <v>1</v>
      </c>
      <c r="KC28" s="4">
        <f>JY28/300</f>
        <v>0.9</v>
      </c>
      <c r="KD28" s="2">
        <f>$B$4/($B$4+$C$4*(1-KG25))</f>
        <v>0.497237569060773</v>
      </c>
      <c r="KE28" s="2" cm="1">
        <f t="array" ref="KE28">INDEX(KE4:KE7,JX28,0)</f>
        <v>0.8</v>
      </c>
      <c r="KF28" s="6">
        <f>$AB$10*(1+KC28)*KD28*(1+$AE$10)*5*KE28</f>
        <v>136044.198895028</v>
      </c>
      <c r="KG28" s="6">
        <f>$AC$10*(1+KC28)*(1+50%*KG30)*KD28*(1+$AF$10)*15*KE28</f>
        <v>41323.4254143646</v>
      </c>
      <c r="KH28" s="6">
        <f>$AD$10*(1+KC28)*(1+$AG$10)*KE28</f>
        <v>68400</v>
      </c>
      <c r="KJ28" s="2" t="s">
        <v>565</v>
      </c>
      <c r="KK28" s="6">
        <f>IF(JV28=KG27,KG28,0)*JI$8</f>
        <v>0</v>
      </c>
      <c r="KL28" s="2" cm="1">
        <f t="array" ref="KL28">INDEX(云配队!$J12:$AC12,1,KL$1)</f>
        <v>0</v>
      </c>
      <c r="KY28" s="2" cm="1">
        <f t="array" ref="KY28">INDEX(云配队!$J$11:$AC$11,1,KL1)</f>
        <v>0</v>
      </c>
      <c r="KZ28" s="2" t="str" cm="1">
        <f t="array" ref="KZ28">INDEX(云配队!$J$13:$AC$13,1,KL1)</f>
        <v>全队最高</v>
      </c>
      <c r="LA28" s="2">
        <f>IF(KZ28="全队最高",MATCH(MAX(KQ4:KQ7),KQ4:KQ7,0),MATCH(KZ28,$D$4:$D$7,0))</f>
        <v>2</v>
      </c>
      <c r="LB28" s="2" cm="1">
        <f t="array" ref="LB28">INDEX(KQ4:KQ7,LA28)</f>
        <v>270</v>
      </c>
      <c r="LC28" s="2">
        <f>0.2*LB28/(LB28+180)</f>
        <v>0.12</v>
      </c>
      <c r="LD28" s="2">
        <f>IF(IFERROR(VLOOKUP(KY28,中间!$O$2:$P$10,2,FALSE),0),(1+中间!$Q$5)*(1+LC28),1)</f>
        <v>1</v>
      </c>
      <c r="LF28" s="4">
        <f>LB28/300</f>
        <v>0.9</v>
      </c>
      <c r="LG28" s="2">
        <f>$B$4/($B$4+$C$4*(1-LJ25))</f>
        <v>0.497237569060773</v>
      </c>
      <c r="LH28" s="2" cm="1">
        <f t="array" ref="LH28">INDEX(LH4:LH7,LA28,0)</f>
        <v>0.8</v>
      </c>
      <c r="LI28" s="6">
        <f>$AB$10*(1+LF28)*LG28*(1+$AE$10)*5*LH28</f>
        <v>136044.198895028</v>
      </c>
      <c r="LJ28" s="6">
        <f>$AC$10*(1+LF28)*(1+50%*LJ30)*LG28*(1+$AF$10)*15*LH28</f>
        <v>41323.4254143646</v>
      </c>
      <c r="LK28" s="6">
        <f>$AD$10*(1+LF28)*(1+$AG$10)*LH28</f>
        <v>68400</v>
      </c>
      <c r="LM28" s="2" t="s">
        <v>565</v>
      </c>
      <c r="LN28" s="6">
        <f>IF(KY28=LJ27,LJ28,0)*KL$8</f>
        <v>0</v>
      </c>
      <c r="LO28" s="2" cm="1">
        <f t="array" ref="LO28">INDEX(云配队!$J12:$AC12,1,LO$1)</f>
        <v>0</v>
      </c>
      <c r="MB28" s="2" cm="1">
        <f t="array" ref="MB28">INDEX(云配队!$J$11:$AC$11,1,LO1)</f>
        <v>0</v>
      </c>
      <c r="MC28" s="2" t="str" cm="1">
        <f t="array" ref="MC28">INDEX(云配队!$J$13:$AC$13,1,LO1)</f>
        <v>全队最高</v>
      </c>
      <c r="MD28" s="2">
        <f>IF(MC28="全队最高",MATCH(MAX(LT4:LT7),LT4:LT7,0),MATCH(MC28,$D$4:$D$7,0))</f>
        <v>2</v>
      </c>
      <c r="ME28" s="2" cm="1">
        <f t="array" ref="ME28">INDEX(LT4:LT7,MD28)</f>
        <v>270</v>
      </c>
      <c r="MF28" s="2">
        <f>0.2*ME28/(ME28+180)</f>
        <v>0.12</v>
      </c>
      <c r="MG28" s="2">
        <f>IF(IFERROR(VLOOKUP(MB28,中间!$O$2:$P$10,2,FALSE),0),(1+中间!$Q$5)*(1+MF28),1)</f>
        <v>1</v>
      </c>
      <c r="MI28" s="4">
        <f>ME28/300</f>
        <v>0.9</v>
      </c>
      <c r="MJ28" s="2">
        <f>$B$4/($B$4+$C$4*(1-MM25))</f>
        <v>0.497237569060773</v>
      </c>
      <c r="MK28" s="2" cm="1">
        <f t="array" ref="MK28">INDEX(MK4:MK7,MD28,0)</f>
        <v>0.8</v>
      </c>
      <c r="ML28" s="6">
        <f>$AB$10*(1+MI28)*MJ28*(1+$AE$10)*5*MK28</f>
        <v>136044.198895028</v>
      </c>
      <c r="MM28" s="6">
        <f>$AC$10*(1+MI28)*(1+50%*MM30)*MJ28*(1+$AF$10)*15*MK28</f>
        <v>41323.4254143646</v>
      </c>
      <c r="MN28" s="6">
        <f>$AD$10*(1+MI28)*(1+$AG$10)*MK28</f>
        <v>68400</v>
      </c>
      <c r="MP28" s="2" t="s">
        <v>565</v>
      </c>
      <c r="MQ28" s="6">
        <f>IF(MB28=MM27,MM28,0)*LO$8</f>
        <v>0</v>
      </c>
      <c r="MR28" s="2" cm="1">
        <f t="array" ref="MR28">INDEX(云配队!$J12:$AC12,1,MR$1)</f>
        <v>0</v>
      </c>
      <c r="NE28" s="2" cm="1">
        <f t="array" ref="NE28">INDEX(云配队!$J$11:$AC$11,1,MR1)</f>
        <v>0</v>
      </c>
      <c r="NF28" s="2" t="str" cm="1">
        <f t="array" ref="NF28">INDEX(云配队!$J$13:$AC$13,1,MR1)</f>
        <v>全队最高</v>
      </c>
      <c r="NG28" s="2">
        <f>IF(NF28="全队最高",MATCH(MAX(MW4:MW7),MW4:MW7,0),MATCH(NF28,$D$4:$D$7,0))</f>
        <v>2</v>
      </c>
      <c r="NH28" s="2" cm="1">
        <f t="array" ref="NH28">INDEX(MW4:MW7,NG28)</f>
        <v>270</v>
      </c>
      <c r="NI28" s="2">
        <f>0.2*NH28/(NH28+180)</f>
        <v>0.12</v>
      </c>
      <c r="NJ28" s="2">
        <f>IF(IFERROR(VLOOKUP(NE28,中间!$O$2:$P$10,2,FALSE),0),(1+中间!$Q$5)*(1+NI28),1)</f>
        <v>1</v>
      </c>
      <c r="NL28" s="4">
        <f>NH28/300</f>
        <v>0.9</v>
      </c>
      <c r="NM28" s="2">
        <f>$B$4/($B$4+$C$4*(1-NP25))</f>
        <v>0.497237569060773</v>
      </c>
      <c r="NN28" s="2" cm="1">
        <f t="array" ref="NN28">INDEX(NN4:NN7,NG28,0)</f>
        <v>0.8</v>
      </c>
      <c r="NO28" s="6">
        <f>$AB$10*(1+NL28)*NM28*(1+$AE$10)*5*NN28</f>
        <v>136044.198895028</v>
      </c>
      <c r="NP28" s="6">
        <f>$AC$10*(1+NL28)*(1+50%*NP30)*NM28*(1+$AF$10)*15*NN28</f>
        <v>41323.4254143646</v>
      </c>
      <c r="NQ28" s="6">
        <f>$AD$10*(1+NL28)*(1+$AG$10)*NN28</f>
        <v>68400</v>
      </c>
      <c r="NS28" s="2" t="s">
        <v>565</v>
      </c>
      <c r="NT28" s="6">
        <f>IF(NE28=NP27,NP28,0)*MR$8</f>
        <v>0</v>
      </c>
      <c r="NU28" s="2" cm="1">
        <f t="array" ref="NU28">INDEX(云配队!$J12:$AC12,1,NU$1)</f>
        <v>0</v>
      </c>
      <c r="OH28" s="2" cm="1">
        <f t="array" ref="OH28">INDEX(云配队!$J$11:$AC$11,1,NU1)</f>
        <v>0</v>
      </c>
      <c r="OI28" s="2" t="str" cm="1">
        <f t="array" ref="OI28">INDEX(云配队!$J$13:$AC$13,1,NU1)</f>
        <v>全队最高</v>
      </c>
      <c r="OJ28" s="2">
        <f>IF(OI28="全队最高",MATCH(MAX(NZ4:NZ7),NZ4:NZ7,0),MATCH(OI28,$D$4:$D$7,0))</f>
        <v>2</v>
      </c>
      <c r="OK28" s="2" cm="1">
        <f t="array" ref="OK28">INDEX(NZ4:NZ7,OJ28)</f>
        <v>270</v>
      </c>
      <c r="OL28" s="2">
        <f>0.2*OK28/(OK28+180)</f>
        <v>0.12</v>
      </c>
      <c r="OM28" s="2">
        <f>IF(IFERROR(VLOOKUP(OH28,中间!$O$2:$P$10,2,FALSE),0),(1+中间!$Q$5)*(1+OL28),1)</f>
        <v>1</v>
      </c>
      <c r="OO28" s="4">
        <f>OK28/300</f>
        <v>0.9</v>
      </c>
      <c r="OP28" s="2">
        <f>$B$4/($B$4+$C$4*(1-OS25))</f>
        <v>0.497237569060773</v>
      </c>
      <c r="OQ28" s="2" cm="1">
        <f t="array" ref="OQ28">INDEX(OQ4:OQ7,OJ28,0)</f>
        <v>0.8</v>
      </c>
      <c r="OR28" s="6">
        <f>$AB$10*(1+OO28)*OP28*(1+$AE$10)*5*OQ28</f>
        <v>136044.198895028</v>
      </c>
      <c r="OS28" s="6">
        <f>$AC$10*(1+OO28)*(1+50%*OS30)*OP28*(1+$AF$10)*15*OQ28</f>
        <v>41323.4254143646</v>
      </c>
      <c r="OT28" s="6">
        <f>$AD$10*(1+OO28)*(1+$AG$10)*OQ28</f>
        <v>68400</v>
      </c>
      <c r="OV28" s="2" t="s">
        <v>565</v>
      </c>
      <c r="OW28" s="6">
        <f>IF(OH28=OS27,OS28,0)*NU$8</f>
        <v>0</v>
      </c>
      <c r="OX28" s="2" cm="1">
        <f t="array" ref="OX28">INDEX(云配队!$J12:$AC12,1,OX$1)</f>
        <v>0</v>
      </c>
      <c r="PK28" s="2" cm="1">
        <f t="array" ref="PK28">INDEX(云配队!$J$11:$AC$11,1,OX1)</f>
        <v>0</v>
      </c>
      <c r="PL28" s="2" t="str" cm="1">
        <f t="array" ref="PL28">INDEX(云配队!$J$13:$AC$13,1,OX1)</f>
        <v>全队最高</v>
      </c>
      <c r="PM28" s="2">
        <f>IF(PL28="全队最高",MATCH(MAX(PC4:PC7),PC4:PC7,0),MATCH(PL28,$D$4:$D$7,0))</f>
        <v>2</v>
      </c>
      <c r="PN28" s="2" cm="1">
        <f t="array" ref="PN28">INDEX(PC4:PC7,PM28)</f>
        <v>270</v>
      </c>
      <c r="PO28" s="2">
        <f>0.2*PN28/(PN28+180)</f>
        <v>0.12</v>
      </c>
      <c r="PP28" s="2">
        <f>IF(IFERROR(VLOOKUP(PK28,中间!$O$2:$P$10,2,FALSE),0),(1+中间!$Q$5)*(1+PO28),1)</f>
        <v>1</v>
      </c>
      <c r="PR28" s="4">
        <f>PN28/300</f>
        <v>0.9</v>
      </c>
      <c r="PS28" s="2">
        <f>$B$4/($B$4+$C$4*(1-PV25))</f>
        <v>0.497237569060773</v>
      </c>
      <c r="PT28" s="2" cm="1">
        <f t="array" ref="PT28">INDEX(PT4:PT7,PM28,0)</f>
        <v>0.8</v>
      </c>
      <c r="PU28" s="6">
        <f>$AB$10*(1+PR28)*PS28*(1+$AE$10)*5*PT28</f>
        <v>136044.198895028</v>
      </c>
      <c r="PV28" s="6">
        <f>$AC$10*(1+PR28)*(1+50%*PV30)*PS28*(1+$AF$10)*15*PT28</f>
        <v>41323.4254143646</v>
      </c>
      <c r="PW28" s="6">
        <f>$AD$10*(1+PR28)*(1+$AG$10)*PT28</f>
        <v>68400</v>
      </c>
      <c r="PY28" s="2" t="s">
        <v>565</v>
      </c>
      <c r="PZ28" s="6">
        <f>IF(PK28=PV27,PV28,0)*OX$8</f>
        <v>0</v>
      </c>
      <c r="QA28" s="2" cm="1">
        <f t="array" ref="QA28">INDEX(云配队!$J12:$AC12,1,QA$1)</f>
        <v>0</v>
      </c>
      <c r="QN28" s="2" cm="1">
        <f t="array" ref="QN28">INDEX(云配队!$J$11:$AC$11,1,QA1)</f>
        <v>0</v>
      </c>
      <c r="QO28" s="2" t="str" cm="1">
        <f t="array" ref="QO28">INDEX(云配队!$J$13:$AC$13,1,QA1)</f>
        <v>全队最高</v>
      </c>
      <c r="QP28" s="2">
        <f>IF(QO28="全队最高",MATCH(MAX(QF4:QF7),QF4:QF7,0),MATCH(QO28,$D$4:$D$7,0))</f>
        <v>2</v>
      </c>
      <c r="QQ28" s="2" cm="1">
        <f t="array" ref="QQ28">INDEX(QF4:QF7,QP28)</f>
        <v>270</v>
      </c>
      <c r="QR28" s="2">
        <f>0.2*QQ28/(QQ28+180)</f>
        <v>0.12</v>
      </c>
      <c r="QS28" s="2">
        <f>IF(IFERROR(VLOOKUP(QN28,中间!$O$2:$P$10,2,FALSE),0),(1+中间!$Q$5)*(1+QR28),1)</f>
        <v>1</v>
      </c>
      <c r="QU28" s="4">
        <f>QQ28/300</f>
        <v>0.9</v>
      </c>
      <c r="QV28" s="2">
        <f>$B$4/($B$4+$C$4*(1-QY25))</f>
        <v>0.497237569060773</v>
      </c>
      <c r="QW28" s="2" cm="1">
        <f t="array" ref="QW28">INDEX(QW4:QW7,QP28,0)</f>
        <v>0.8</v>
      </c>
      <c r="QX28" s="6">
        <f>$AB$10*(1+QU28)*QV28*(1+$AE$10)*5*QW28</f>
        <v>136044.198895028</v>
      </c>
      <c r="QY28" s="6">
        <f>$AC$10*(1+QU28)*(1+50%*QY30)*QV28*(1+$AF$10)*15*QW28</f>
        <v>41323.4254143646</v>
      </c>
      <c r="QZ28" s="6">
        <f>$AD$10*(1+QU28)*(1+$AG$10)*QW28</f>
        <v>68400</v>
      </c>
      <c r="RB28" s="2" t="s">
        <v>565</v>
      </c>
      <c r="RC28" s="6">
        <f>IF(QN28=QY27,QY28,0)*QA$8</f>
        <v>0</v>
      </c>
      <c r="RD28" s="2" cm="1">
        <f t="array" ref="RD28">INDEX(云配队!$J12:$AC12,1,RD$1)</f>
        <v>0</v>
      </c>
      <c r="RQ28" s="2" cm="1">
        <f t="array" ref="RQ28">INDEX(云配队!$J$11:$AC$11,1,RD1)</f>
        <v>0</v>
      </c>
      <c r="RR28" s="2" t="str" cm="1">
        <f t="array" ref="RR28">INDEX(云配队!$J$13:$AC$13,1,RD1)</f>
        <v>全队最高</v>
      </c>
      <c r="RS28" s="2">
        <f>IF(RR28="全队最高",MATCH(MAX(RI4:RI7),RI4:RI7,0),MATCH(RR28,$D$4:$D$7,0))</f>
        <v>2</v>
      </c>
      <c r="RT28" s="2" cm="1">
        <f t="array" ref="RT28">INDEX(RI4:RI7,RS28)</f>
        <v>270</v>
      </c>
      <c r="RU28" s="2">
        <f>0.2*RT28/(RT28+180)</f>
        <v>0.12</v>
      </c>
      <c r="RV28" s="2">
        <f>IF(IFERROR(VLOOKUP(RQ28,中间!$O$2:$P$10,2,FALSE),0),(1+中间!$Q$5)*(1+RU28),1)</f>
        <v>1</v>
      </c>
      <c r="RX28" s="4">
        <f>RT28/300</f>
        <v>0.9</v>
      </c>
      <c r="RY28" s="2">
        <f>$B$4/($B$4+$C$4*(1-SB25))</f>
        <v>0.497237569060773</v>
      </c>
      <c r="RZ28" s="2" cm="1">
        <f t="array" ref="RZ28">INDEX(RZ4:RZ7,RS28,0)</f>
        <v>0.8</v>
      </c>
      <c r="SA28" s="6">
        <f>$AB$10*(1+RX28)*RY28*(1+$AE$10)*5*RZ28</f>
        <v>136044.198895028</v>
      </c>
      <c r="SB28" s="6">
        <f>$AC$10*(1+RX28)*(1+50%*SB30)*RY28*(1+$AF$10)*15*RZ28</f>
        <v>41323.4254143646</v>
      </c>
      <c r="SC28" s="6">
        <f>$AD$10*(1+RX28)*(1+$AG$10)*RZ28</f>
        <v>68400</v>
      </c>
      <c r="SE28" s="2" t="s">
        <v>565</v>
      </c>
      <c r="SF28" s="6">
        <f>IF(RQ28=SB27,SB28,0)*RD$8</f>
        <v>0</v>
      </c>
      <c r="SG28" s="2" cm="1">
        <f t="array" ref="SG28">INDEX(云配队!$J12:$AC12,1,SG$1)</f>
        <v>0</v>
      </c>
      <c r="ST28" s="2" cm="1">
        <f t="array" ref="ST28">INDEX(云配队!$J$11:$AC$11,1,SG1)</f>
        <v>0</v>
      </c>
      <c r="SU28" s="2" t="str" cm="1">
        <f t="array" ref="SU28">INDEX(云配队!$J$13:$AC$13,1,SG1)</f>
        <v>全队最高</v>
      </c>
      <c r="SV28" s="2">
        <f>IF(SU28="全队最高",MATCH(MAX(SL4:SL7),SL4:SL7,0),MATCH(SU28,$D$4:$D$7,0))</f>
        <v>2</v>
      </c>
      <c r="SW28" s="2" cm="1">
        <f t="array" ref="SW28">INDEX(SL4:SL7,SV28)</f>
        <v>270</v>
      </c>
      <c r="SX28" s="2">
        <f>0.2*SW28/(SW28+180)</f>
        <v>0.12</v>
      </c>
      <c r="SY28" s="2">
        <f>IF(IFERROR(VLOOKUP(ST28,中间!$O$2:$P$10,2,FALSE),0),(1+中间!$Q$5)*(1+SX28),1)</f>
        <v>1</v>
      </c>
      <c r="TA28" s="4">
        <f>SW28/300</f>
        <v>0.9</v>
      </c>
      <c r="TB28" s="2">
        <f>$B$4/($B$4+$C$4*(1-TE25))</f>
        <v>0.497237569060773</v>
      </c>
      <c r="TC28" s="2" cm="1">
        <f t="array" ref="TC28">INDEX(TC4:TC7,SV28,0)</f>
        <v>0.8</v>
      </c>
      <c r="TD28" s="6">
        <f>$AB$10*(1+TA28)*TB28*(1+$AE$10)*5*TC28</f>
        <v>136044.198895028</v>
      </c>
      <c r="TE28" s="6">
        <f>$AC$10*(1+TA28)*(1+50%*TE30)*TB28*(1+$AF$10)*15*TC28</f>
        <v>41323.4254143646</v>
      </c>
      <c r="TF28" s="6">
        <f>$AD$10*(1+TA28)*(1+$AG$10)*TC28</f>
        <v>68400</v>
      </c>
      <c r="TH28" s="2" t="s">
        <v>565</v>
      </c>
      <c r="TI28" s="6">
        <f>IF(ST28=TE27,TE28,0)*SG$8</f>
        <v>0</v>
      </c>
      <c r="TJ28" s="2" cm="1">
        <f t="array" ref="TJ28">INDEX(云配队!$J12:$AC12,1,TJ$1)</f>
        <v>0</v>
      </c>
      <c r="TW28" s="2" cm="1">
        <f t="array" ref="TW28">INDEX(云配队!$J$11:$AC$11,1,TJ1)</f>
        <v>0</v>
      </c>
      <c r="TX28" s="2" t="str" cm="1">
        <f t="array" ref="TX28">INDEX(云配队!$J$13:$AC$13,1,TJ1)</f>
        <v>全队最高</v>
      </c>
      <c r="TY28" s="2">
        <f>IF(TX28="全队最高",MATCH(MAX(TO4:TO7),TO4:TO7,0),MATCH(TX28,$D$4:$D$7,0))</f>
        <v>2</v>
      </c>
      <c r="TZ28" s="2" cm="1">
        <f t="array" ref="TZ28">INDEX(TO4:TO7,TY28)</f>
        <v>270</v>
      </c>
      <c r="UA28" s="2">
        <f>0.2*TZ28/(TZ28+180)</f>
        <v>0.12</v>
      </c>
      <c r="UB28" s="2">
        <f>IF(IFERROR(VLOOKUP(TW28,中间!$O$2:$P$10,2,FALSE),0),(1+中间!$Q$5)*(1+UA28),1)</f>
        <v>1</v>
      </c>
      <c r="UD28" s="4">
        <f>TZ28/300</f>
        <v>0.9</v>
      </c>
      <c r="UE28" s="2">
        <f>$B$4/($B$4+$C$4*(1-UH25))</f>
        <v>0.497237569060773</v>
      </c>
      <c r="UF28" s="2" cm="1">
        <f t="array" ref="UF28">INDEX(UF4:UF7,TY28,0)</f>
        <v>0.8</v>
      </c>
      <c r="UG28" s="6">
        <f>$AB$10*(1+UD28)*UE28*(1+$AE$10)*5*UF28</f>
        <v>136044.198895028</v>
      </c>
      <c r="UH28" s="6">
        <f>$AC$10*(1+UD28)*(1+50%*UH30)*UE28*(1+$AF$10)*15*UF28</f>
        <v>41323.4254143646</v>
      </c>
      <c r="UI28" s="6">
        <f>$AD$10*(1+UD28)*(1+$AG$10)*UF28</f>
        <v>68400</v>
      </c>
      <c r="UK28" s="2" t="s">
        <v>565</v>
      </c>
      <c r="UL28" s="6">
        <f>IF(TW28=UH27,UH28,0)*TJ$8</f>
        <v>0</v>
      </c>
      <c r="UM28" s="2" cm="1">
        <f t="array" ref="UM28">INDEX(云配队!$J12:$AC12,1,UM$1)</f>
        <v>0</v>
      </c>
      <c r="UZ28" s="2" cm="1">
        <f t="array" ref="UZ28">INDEX(云配队!$J$11:$AC$11,1,UM1)</f>
        <v>0</v>
      </c>
      <c r="VA28" s="2" t="str" cm="1">
        <f t="array" ref="VA28">INDEX(云配队!$J$13:$AC$13,1,UM1)</f>
        <v>全队最高</v>
      </c>
      <c r="VB28" s="2">
        <f>IF(VA28="全队最高",MATCH(MAX(UR4:UR7),UR4:UR7,0),MATCH(VA28,$D$4:$D$7,0))</f>
        <v>2</v>
      </c>
      <c r="VC28" s="2" cm="1">
        <f t="array" ref="VC28">INDEX(UR4:UR7,VB28)</f>
        <v>270</v>
      </c>
      <c r="VD28" s="2">
        <f>0.2*VC28/(VC28+180)</f>
        <v>0.12</v>
      </c>
      <c r="VE28" s="2">
        <f>IF(IFERROR(VLOOKUP(UZ28,中间!$O$2:$P$10,2,FALSE),0),(1+中间!$Q$5)*(1+VD28),1)</f>
        <v>1</v>
      </c>
      <c r="VG28" s="4">
        <f>VC28/300</f>
        <v>0.9</v>
      </c>
      <c r="VH28" s="2">
        <f>$B$4/($B$4+$C$4*(1-VK25))</f>
        <v>0.497237569060773</v>
      </c>
      <c r="VI28" s="2" cm="1">
        <f t="array" ref="VI28">INDEX(VI4:VI7,VB28,0)</f>
        <v>0.8</v>
      </c>
      <c r="VJ28" s="6">
        <f>$AB$10*(1+VG28)*VH28*(1+$AE$10)*5*VI28</f>
        <v>136044.198895028</v>
      </c>
      <c r="VK28" s="6">
        <f>$AC$10*(1+VG28)*(1+50%*VK30)*VH28*(1+$AF$10)*15*VI28</f>
        <v>41323.4254143646</v>
      </c>
      <c r="VL28" s="6">
        <f>$AD$10*(1+VG28)*(1+$AG$10)*VI28</f>
        <v>68400</v>
      </c>
      <c r="VN28" s="2" t="s">
        <v>565</v>
      </c>
      <c r="VO28" s="6">
        <f>IF(UZ28=VK27,VK28,0)*UM$8</f>
        <v>0</v>
      </c>
      <c r="VP28" s="2" cm="1">
        <f t="array" ref="VP28">INDEX(云配队!$J12:$AC12,1,VP$1)</f>
        <v>0</v>
      </c>
      <c r="WC28" s="2" t="str" cm="1">
        <f t="array" ref="WC28">INDEX(云配队!$J$11:$AC$11,1,VP1)</f>
        <v>创生</v>
      </c>
      <c r="WD28" s="2" t="str" cm="1">
        <f t="array" ref="WD28">INDEX(云配队!$J$13:$AC$13,1,VP1)</f>
        <v>全队最高</v>
      </c>
      <c r="WE28" s="2">
        <f>IF(WD28="全队最高",MATCH(MAX(VU4:VU7),VU4:VU7,0),MATCH(WD28,$D$4:$D$7,0))</f>
        <v>2</v>
      </c>
      <c r="WF28" s="2" cm="1">
        <f t="array" ref="WF28">INDEX(VU4:VU7,WE28)</f>
        <v>270</v>
      </c>
      <c r="WG28" s="2">
        <f>0.2*WF28/(WF28+180)</f>
        <v>0.12</v>
      </c>
      <c r="WH28" s="2">
        <f>IF(IFERROR(VLOOKUP(WC28,中间!$O$2:$P$10,2,FALSE),0),(1+中间!$Q$5)*(1+WG28),1)</f>
        <v>1</v>
      </c>
      <c r="WJ28" s="4">
        <f>WF28/300</f>
        <v>0.9</v>
      </c>
      <c r="WK28" s="2">
        <f>$B$4/($B$4+$C$4*(1-WN25))</f>
        <v>0.542961856929551</v>
      </c>
      <c r="WL28" s="2" cm="1">
        <f t="array" ref="WL28">INDEX(WL4:WL7,WE28,0)</f>
        <v>0.8</v>
      </c>
      <c r="WM28" s="6">
        <f>$AB$10*(1+WJ28)*WK28*(1+$AE$10)*5*WL28</f>
        <v>148554.364055925</v>
      </c>
      <c r="WN28" s="6">
        <f>$AC$10*(1+WJ28)*(1+50%*WN30)*WK28*(1+$AF$10)*15*WL28</f>
        <v>45123.3880819872</v>
      </c>
      <c r="WO28" s="6">
        <f>$AD$10*(1+WJ28)*(1+$AG$10)*WL28</f>
        <v>68400</v>
      </c>
      <c r="WQ28" s="2" t="s">
        <v>565</v>
      </c>
      <c r="WR28" s="6">
        <f>IF(WC28=WN27,WN28,0)*VP$8</f>
        <v>0</v>
      </c>
    </row>
    <row r="29" spans="35:616">
      <c r="BI29" s="2" t="s">
        <v>566</v>
      </c>
      <c r="BL29" s="2" t="s">
        <v>567</v>
      </c>
      <c r="BM29" s="6">
        <f>IF(AX28=BJ27,BJ28,0)*AK$8</f>
        <v>0</v>
      </c>
      <c r="CL29" s="2" t="s">
        <v>566</v>
      </c>
      <c r="CO29" s="2" t="s">
        <v>567</v>
      </c>
      <c r="CP29" s="6">
        <f>IF(CA28=CM27,CM28,0)*BN$8</f>
        <v>0</v>
      </c>
      <c r="DO29" s="2" t="s">
        <v>566</v>
      </c>
      <c r="DR29" s="2" t="s">
        <v>567</v>
      </c>
      <c r="DS29" s="6">
        <f>IF(DD28=DP27,DP28,0)*CQ$8</f>
        <v>0</v>
      </c>
      <c r="ER29" s="2" t="s">
        <v>566</v>
      </c>
      <c r="EU29" s="2" t="s">
        <v>567</v>
      </c>
      <c r="EV29" s="6">
        <f>IF(EG28=ES27,ES28,0)*DT$8</f>
        <v>0</v>
      </c>
      <c r="FU29" s="2" t="s">
        <v>566</v>
      </c>
      <c r="FX29" s="2" t="s">
        <v>567</v>
      </c>
      <c r="FY29" s="6">
        <f>IF(FJ28=FV27,FV28,0)*EW$8</f>
        <v>0</v>
      </c>
      <c r="GX29" s="2" t="s">
        <v>566</v>
      </c>
      <c r="HA29" s="2" t="s">
        <v>567</v>
      </c>
      <c r="HB29" s="6">
        <f>IF(GM28=GY27,GY28,0)*FZ$8</f>
        <v>0</v>
      </c>
      <c r="IA29" s="2" t="s">
        <v>566</v>
      </c>
      <c r="ID29" s="2" t="s">
        <v>567</v>
      </c>
      <c r="IE29" s="6">
        <f>IF(HP28=IB27,IB28,0)*HC$8</f>
        <v>0</v>
      </c>
      <c r="JD29" s="2" t="s">
        <v>566</v>
      </c>
      <c r="JG29" s="2" t="s">
        <v>567</v>
      </c>
      <c r="JH29" s="6">
        <f>IF(IS28=JE27,JE28,0)*IF$8</f>
        <v>0</v>
      </c>
      <c r="KG29" s="2" t="s">
        <v>566</v>
      </c>
      <c r="KJ29" s="2" t="s">
        <v>567</v>
      </c>
      <c r="KK29" s="6">
        <f>IF(JV28=KH27,KH28,0)*JI$8</f>
        <v>0</v>
      </c>
      <c r="LJ29" s="2" t="s">
        <v>566</v>
      </c>
      <c r="LM29" s="2" t="s">
        <v>567</v>
      </c>
      <c r="LN29" s="6">
        <f>IF(KY28=LK27,LK28,0)*KL$8</f>
        <v>0</v>
      </c>
      <c r="MM29" s="2" t="s">
        <v>566</v>
      </c>
      <c r="MP29" s="2" t="s">
        <v>567</v>
      </c>
      <c r="MQ29" s="6">
        <f>IF(MB28=MN27,MN28,0)*LO$8</f>
        <v>0</v>
      </c>
      <c r="NP29" s="2" t="s">
        <v>566</v>
      </c>
      <c r="NS29" s="2" t="s">
        <v>567</v>
      </c>
      <c r="NT29" s="6">
        <f>IF(NE28=NQ27,NQ28,0)*MR$8</f>
        <v>0</v>
      </c>
      <c r="OS29" s="2" t="s">
        <v>566</v>
      </c>
      <c r="OV29" s="2" t="s">
        <v>567</v>
      </c>
      <c r="OW29" s="6">
        <f>IF(OH28=OT27,OT28,0)*NU$8</f>
        <v>0</v>
      </c>
      <c r="PV29" s="2" t="s">
        <v>566</v>
      </c>
      <c r="PY29" s="2" t="s">
        <v>567</v>
      </c>
      <c r="PZ29" s="6">
        <f>IF(PK28=PW27,PW28,0)*OX$8</f>
        <v>0</v>
      </c>
      <c r="QY29" s="2" t="s">
        <v>566</v>
      </c>
      <c r="RB29" s="2" t="s">
        <v>567</v>
      </c>
      <c r="RC29" s="6">
        <f>IF(QN28=QZ27,QZ28,0)*QA$8</f>
        <v>0</v>
      </c>
      <c r="SB29" s="2" t="s">
        <v>566</v>
      </c>
      <c r="SE29" s="2" t="s">
        <v>567</v>
      </c>
      <c r="SF29" s="6">
        <f>IF(RQ28=SC27,SC28,0)*RD$8</f>
        <v>0</v>
      </c>
      <c r="TE29" s="2" t="s">
        <v>566</v>
      </c>
      <c r="TH29" s="2" t="s">
        <v>567</v>
      </c>
      <c r="TI29" s="6">
        <f>IF(ST28=TF27,TF28,0)*SG$8</f>
        <v>0</v>
      </c>
      <c r="UH29" s="2" t="s">
        <v>566</v>
      </c>
      <c r="UK29" s="2" t="s">
        <v>567</v>
      </c>
      <c r="UL29" s="6">
        <f>IF(TW28=UI27,UI28,0)*TJ$8</f>
        <v>0</v>
      </c>
      <c r="VK29" s="2" t="s">
        <v>566</v>
      </c>
      <c r="VN29" s="2" t="s">
        <v>567</v>
      </c>
      <c r="VO29" s="6">
        <f>IF(UZ28=VL27,VL28,0)*UM$8</f>
        <v>0</v>
      </c>
      <c r="WN29" s="2" t="s">
        <v>566</v>
      </c>
      <c r="WQ29" s="2" t="s">
        <v>567</v>
      </c>
      <c r="WR29" s="6">
        <f>IF(WC28=WO27,WO28,0)*VP$8</f>
        <v>0</v>
      </c>
    </row>
    <row r="30" spans="35:616">
      <c r="BI30" s="2" cm="1">
        <f t="array" ref="BI30">INDEX(BE4:BE7,AZ28)</f>
        <v>0.7</v>
      </c>
      <c r="CL30" s="2" cm="1">
        <f t="array" ref="CL30">INDEX(CH4:CH7,CC28)</f>
        <v>0.7</v>
      </c>
      <c r="DO30" s="2" cm="1">
        <f t="array" ref="DO30">INDEX(DK4:DK7,DF28)</f>
        <v>1</v>
      </c>
      <c r="ER30" s="2" cm="1">
        <f t="array" ref="ER30">INDEX(EN4:EN7,EI28)</f>
        <v>1</v>
      </c>
      <c r="FU30" s="2" cm="1">
        <f t="array" ref="FU30">INDEX(FQ4:FQ7,FL28)</f>
        <v>1</v>
      </c>
      <c r="GX30" s="2" cm="1">
        <f t="array" ref="GX30">INDEX(GT4:GT7,GO28)</f>
        <v>1</v>
      </c>
      <c r="IA30" s="2" cm="1">
        <f t="array" ref="IA30">INDEX(HW4:HW7,HR28)</f>
        <v>1</v>
      </c>
      <c r="JD30" s="2" cm="1">
        <f t="array" ref="JD30">INDEX(IZ4:IZ7,IU28)</f>
        <v>1</v>
      </c>
      <c r="KG30" s="2" cm="1">
        <f t="array" ref="KG30">INDEX(KC4:KC7,JX28)</f>
        <v>0.7</v>
      </c>
      <c r="LJ30" s="2" cm="1">
        <f t="array" ref="LJ30">INDEX(LF4:LF7,LA28)</f>
        <v>0.7</v>
      </c>
      <c r="MM30" s="2" cm="1">
        <f t="array" ref="MM30">INDEX(MI4:MI7,MD28)</f>
        <v>0.7</v>
      </c>
      <c r="NP30" s="2" cm="1">
        <f t="array" ref="NP30">INDEX(NL4:NL7,NG28)</f>
        <v>0.7</v>
      </c>
      <c r="OS30" s="2" cm="1">
        <f t="array" ref="OS30">INDEX(OO4:OO7,OJ28)</f>
        <v>0.7</v>
      </c>
      <c r="PV30" s="2" cm="1">
        <f t="array" ref="PV30">INDEX(PR4:PR7,PM28)</f>
        <v>0.7</v>
      </c>
      <c r="QY30" s="2" cm="1">
        <f t="array" ref="QY30">INDEX(QU4:QU7,QP28)</f>
        <v>0.7</v>
      </c>
      <c r="SB30" s="2" cm="1">
        <f t="array" ref="SB30">INDEX(RX4:RX7,RS28)</f>
        <v>0.7</v>
      </c>
      <c r="TE30" s="2" cm="1">
        <f t="array" ref="TE30">INDEX(TA4:TA7,SV28)</f>
        <v>0.7</v>
      </c>
      <c r="UH30" s="2" cm="1">
        <f t="array" ref="UH30">INDEX(UD4:UD7,TY28)</f>
        <v>0.7</v>
      </c>
      <c r="VK30" s="2" cm="1">
        <f t="array" ref="VK30">INDEX(VG4:VG7,VB28)</f>
        <v>0.7</v>
      </c>
      <c r="WN30" s="2" cm="1">
        <f t="array" ref="WN30">INDEX(WJ4:WJ7,WE28)</f>
        <v>0.7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云配队</vt:lpstr>
      <vt:lpstr>配装</vt:lpstr>
      <vt:lpstr>增益</vt:lpstr>
      <vt:lpstr>中间</vt:lpstr>
      <vt:lpstr>动作</vt:lpstr>
      <vt:lpstr>角色</vt:lpstr>
      <vt:lpstr>天赋</vt:lpstr>
      <vt:lpstr>弧盘</vt:lpstr>
      <vt:lpstr>卡带</vt:lpstr>
      <vt:lpstr>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bytedance</cp:lastModifiedBy>
  <dcterms:created xsi:type="dcterms:W3CDTF">2025-07-18T11:50:00Z</dcterms:created>
  <dcterms:modified xsi:type="dcterms:W3CDTF">2026-04-02T20:43:48Z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862A63EFA6C3D35019915A68480FFDC4_41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